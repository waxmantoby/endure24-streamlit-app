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tobywaxman/Downloads/"/>
    </mc:Choice>
  </mc:AlternateContent>
  <xr:revisionPtr revIDLastSave="0" documentId="13_ncr:1_{3F758C6C-F05A-0A4F-8F66-006A4136AF8A}" xr6:coauthVersionLast="47" xr6:coauthVersionMax="47" xr10:uidLastSave="{00000000-0000-0000-0000-000000000000}"/>
  <bookViews>
    <workbookView minimized="1" xWindow="1480" yWindow="1660" windowWidth="27240" windowHeight="16160" xr2:uid="{C98EE3C0-FC55-D145-AE6E-E34C21EACE4C}"/>
  </bookViews>
  <sheets>
    <sheet name="Interesting Graphs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<sst xmlns="http://schemas.openxmlformats.org/spreadsheetml/2006/main" count="108" uniqueCount="37">
  <si>
    <t>Endure24 Race Dashboard - Interesting Graphs (corrected Rory outlier)</t>
  </si>
  <si>
    <t>Lap</t>
  </si>
  <si>
    <t>Runner</t>
  </si>
  <si>
    <t>Lap Time</t>
  </si>
  <si>
    <t>Lap Minutes</t>
  </si>
  <si>
    <t>Cumulative Minutes</t>
  </si>
  <si>
    <t>% vs Overall Avg</t>
  </si>
  <si>
    <t>Laps</t>
  </si>
  <si>
    <t>Total Time</t>
  </si>
  <si>
    <t>Avg Lap</t>
  </si>
  <si>
    <t>Fastest Lap</t>
  </si>
  <si>
    <t>Slowest Lap</t>
  </si>
  <si>
    <t>Lap Min</t>
  </si>
  <si>
    <t>Std Dev Sec</t>
  </si>
  <si>
    <t>Craig Losh</t>
  </si>
  <si>
    <t>Toby Waxman</t>
  </si>
  <si>
    <t>Jared Taylor</t>
  </si>
  <si>
    <t>James Ponsford</t>
  </si>
  <si>
    <t>Rory Myner</t>
  </si>
  <si>
    <t>Becca Hawkins</t>
  </si>
  <si>
    <t>Ellie Dorsman</t>
  </si>
  <si>
    <t>Avg Lap Min</t>
  </si>
  <si>
    <t>Fastest Lap Min</t>
  </si>
  <si>
    <t>Slowest Lap Min</t>
  </si>
  <si>
    <t>Avg Min</t>
  </si>
  <si>
    <t>Quick insights</t>
  </si>
  <si>
    <t>Total laps</t>
  </si>
  <si>
    <t>Corrected total time</t>
  </si>
  <si>
    <t>Fastest lap</t>
  </si>
  <si>
    <t>Average lap</t>
  </si>
  <si>
    <t>Slowest lap</t>
  </si>
  <si>
    <t>Fastest runner avg</t>
  </si>
  <si>
    <t>Most laps</t>
  </si>
  <si>
    <t>Most consistent</t>
  </si>
  <si>
    <t>Rory lap 25 corrected time</t>
  </si>
  <si>
    <t>Note</t>
  </si>
  <si>
    <t>Times are based on the corrected lap split data in the pivots tab. Charts use minutes for readable axes.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</si>
</sst>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[m]:ss"/>
  </numFmts>
  <fonts count="5" x14ac:knownFonts="1">
    <font>
      <sz val="11"/>
      <color theme="1"/>
      <name val="Aptos Narrow"/>
    </font>
    <font>
      <b/>
      <sz val="10"/>
      <color rgb="FFFFFFFF"/>
      <name val="Aptos"/>
    </font>
    <font>
      <sz val="10"/>
      <color theme="1"/>
      <name val="Aptos"/>
    </font>
    <font>
      <b/>
      <sz val="10"/>
      <color rgb="FF0B1F33"/>
      <name val="Aptos"/>
    </font>
    <font>
      <sz val="10"/>
      <color rgb="FF0F172A"/>
      <name val="Aptos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  <fill>
      <patternFill patternType="solid">
        <fgColor rgb="FF0B1F33"/>
      </patternFill>
    </fill>
    <fill>
      <patternFill patternType="solid">
        <fgColor rgb="FF16A085"/>
      </patternFill>
    </fill>
    <fill>
      <patternFill patternType="solid">
        <fgColor rgb="FFEAF4F4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46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" fontId="2" fillId="0" borderId="0" xfId="0" applyNumberFormat="1" applyFont="1" applyAlignment="1">
      <alignment wrapText="1"/>
    </xf>
    <xf numFmtId="0" fontId="1" fillId="4" borderId="0" xfId="0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166" fontId="1" fillId="3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66" fontId="4" fillId="7" borderId="0" xfId="0" applyNumberFormat="1" applyFont="1" applyFill="1" applyAlignment="1">
      <alignment vertical="center" wrapText="1"/>
    </xf>
    <xf numFmtId="166" fontId="3" fillId="6" borderId="0" xfId="0" applyNumberFormat="1" applyFont="1" applyFill="1" applyAlignment="1">
      <alignment horizontal="center" vertical="center" wrapText="1"/>
    </xf>
    <xf numFmtId="46" fontId="4" fillId="7" borderId="0" xfId="0" applyNumberFormat="1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Lap time progression (corrected)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Runner</c:v>
          </c:tx>
          <c:cat>
            <c:numRef>
              <c:f>'Interesting Graphs'!$A$4:$A$40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'Interesting Graphs'!$B$4:$B$40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1-3D4C-9871-36ED81E14FDF}"/>
            </c:ext>
          </c:extLst>
        </c:ser>
        <c:ser>
          <c:idx val="1"/>
          <c:order val="1"/>
          <c:tx>
            <c:v>Lap Time</c:v>
          </c:tx>
          <c:cat>
            <c:numRef>
              <c:f>'Interesting Graphs'!$A$4:$A$40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'Interesting Graphs'!$C$4:$C$40</c:f>
              <c:numCache>
                <c:formatCode>[h]:mm:ss</c:formatCode>
                <c:ptCount val="37"/>
                <c:pt idx="0">
                  <c:v>2.5671296296296296E-2</c:v>
                </c:pt>
                <c:pt idx="1">
                  <c:v>2.2118055555555554E-2</c:v>
                </c:pt>
                <c:pt idx="2">
                  <c:v>2.2465277777777778E-2</c:v>
                </c:pt>
                <c:pt idx="3">
                  <c:v>2.7835648148148148E-2</c:v>
                </c:pt>
                <c:pt idx="4">
                  <c:v>2.3738425925925927E-2</c:v>
                </c:pt>
                <c:pt idx="5">
                  <c:v>3.0891203703703702E-2</c:v>
                </c:pt>
                <c:pt idx="6">
                  <c:v>2.6932870370370371E-2</c:v>
                </c:pt>
                <c:pt idx="7">
                  <c:v>2.6319444444444444E-2</c:v>
                </c:pt>
                <c:pt idx="8">
                  <c:v>2.34375E-2</c:v>
                </c:pt>
                <c:pt idx="9">
                  <c:v>2.2280092592592591E-2</c:v>
                </c:pt>
                <c:pt idx="10">
                  <c:v>2.8703703703703703E-2</c:v>
                </c:pt>
                <c:pt idx="11">
                  <c:v>2.326388888888889E-2</c:v>
                </c:pt>
                <c:pt idx="12">
                  <c:v>3.0428240740740742E-2</c:v>
                </c:pt>
                <c:pt idx="13">
                  <c:v>2.6666666666666668E-2</c:v>
                </c:pt>
                <c:pt idx="14">
                  <c:v>2.582175925925926E-2</c:v>
                </c:pt>
                <c:pt idx="15">
                  <c:v>2.3113425925925926E-2</c:v>
                </c:pt>
                <c:pt idx="16">
                  <c:v>2.1412037037037038E-2</c:v>
                </c:pt>
                <c:pt idx="17">
                  <c:v>2.8506944444444446E-2</c:v>
                </c:pt>
                <c:pt idx="18">
                  <c:v>2.3877314814814816E-2</c:v>
                </c:pt>
                <c:pt idx="19">
                  <c:v>3.2638888888888891E-2</c:v>
                </c:pt>
                <c:pt idx="20">
                  <c:v>2.7152777777777779E-2</c:v>
                </c:pt>
                <c:pt idx="21">
                  <c:v>2.6238425925925925E-2</c:v>
                </c:pt>
                <c:pt idx="22">
                  <c:v>2.4872685185185185E-2</c:v>
                </c:pt>
                <c:pt idx="23">
                  <c:v>2.3981481481481482E-2</c:v>
                </c:pt>
                <c:pt idx="24">
                  <c:v>2.4444444444444446E-2</c:v>
                </c:pt>
                <c:pt idx="25">
                  <c:v>2.7291666666666665E-2</c:v>
                </c:pt>
                <c:pt idx="26">
                  <c:v>2.2905092592592591E-2</c:v>
                </c:pt>
                <c:pt idx="27">
                  <c:v>2.3622685185185184E-2</c:v>
                </c:pt>
                <c:pt idx="28">
                  <c:v>2.7395833333333335E-2</c:v>
                </c:pt>
                <c:pt idx="29">
                  <c:v>2.4444444444444446E-2</c:v>
                </c:pt>
                <c:pt idx="30">
                  <c:v>2.8125000000000001E-2</c:v>
                </c:pt>
                <c:pt idx="31">
                  <c:v>2.3148148148148147E-2</c:v>
                </c:pt>
                <c:pt idx="32">
                  <c:v>2.4826388888888887E-2</c:v>
                </c:pt>
                <c:pt idx="33">
                  <c:v>3.2372685185185185E-2</c:v>
                </c:pt>
                <c:pt idx="34">
                  <c:v>2.5671296296296296E-2</c:v>
                </c:pt>
                <c:pt idx="35">
                  <c:v>2.9502314814814815E-2</c:v>
                </c:pt>
                <c:pt idx="36">
                  <c:v>2.5277777777777777E-2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1-3D4C-9871-36ED81E14FDF}"/>
            </c:ext>
          </c:extLst>
        </c:ser>
        <c:ser>
          <c:idx val="2"/>
          <c:order val="2"/>
          <c:tx>
            <c:v>Lap Minutes</c:v>
          </c:tx>
          <c:cat>
            <c:numRef>
              <c:f>'Interesting Graphs'!$A$4:$A$40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'Interesting Graphs'!$D$4:$D$40</c:f>
              <c:numCache>
                <c:formatCode>0.0</c:formatCode>
                <c:ptCount val="37"/>
                <c:pt idx="0">
                  <c:v>36.966666666666661</c:v>
                </c:pt>
                <c:pt idx="1">
                  <c:v>31.849999999999994</c:v>
                </c:pt>
                <c:pt idx="2">
                  <c:v>32.35</c:v>
                </c:pt>
                <c:pt idx="3">
                  <c:v>40.083333333333329</c:v>
                </c:pt>
                <c:pt idx="4">
                  <c:v>34.183333333333337</c:v>
                </c:pt>
                <c:pt idx="5">
                  <c:v>44.483333333333334</c:v>
                </c:pt>
                <c:pt idx="6">
                  <c:v>38.783333333333331</c:v>
                </c:pt>
                <c:pt idx="7">
                  <c:v>37.9</c:v>
                </c:pt>
                <c:pt idx="8">
                  <c:v>33.75</c:v>
                </c:pt>
                <c:pt idx="9">
                  <c:v>32.083333333333336</c:v>
                </c:pt>
                <c:pt idx="10">
                  <c:v>41.333333333333336</c:v>
                </c:pt>
                <c:pt idx="11">
                  <c:v>33.5</c:v>
                </c:pt>
                <c:pt idx="12">
                  <c:v>43.81666666666667</c:v>
                </c:pt>
                <c:pt idx="13">
                  <c:v>38.4</c:v>
                </c:pt>
                <c:pt idx="14">
                  <c:v>37.183333333333337</c:v>
                </c:pt>
                <c:pt idx="15">
                  <c:v>33.283333333333331</c:v>
                </c:pt>
                <c:pt idx="16">
                  <c:v>30.833333333333336</c:v>
                </c:pt>
                <c:pt idx="17">
                  <c:v>41.050000000000004</c:v>
                </c:pt>
                <c:pt idx="18">
                  <c:v>34.38333333333334</c:v>
                </c:pt>
                <c:pt idx="19">
                  <c:v>47.000000000000007</c:v>
                </c:pt>
                <c:pt idx="20">
                  <c:v>39.1</c:v>
                </c:pt>
                <c:pt idx="21">
                  <c:v>37.783333333333331</c:v>
                </c:pt>
                <c:pt idx="22">
                  <c:v>35.81666666666667</c:v>
                </c:pt>
                <c:pt idx="23">
                  <c:v>34.533333333333339</c:v>
                </c:pt>
                <c:pt idx="24">
                  <c:v>35.200000000000003</c:v>
                </c:pt>
                <c:pt idx="25">
                  <c:v>39.300000000000004</c:v>
                </c:pt>
                <c:pt idx="26">
                  <c:v>32.983333333333334</c:v>
                </c:pt>
                <c:pt idx="27">
                  <c:v>34.016666666666666</c:v>
                </c:pt>
                <c:pt idx="28">
                  <c:v>39.449999999999996</c:v>
                </c:pt>
                <c:pt idx="29">
                  <c:v>35.200000000000003</c:v>
                </c:pt>
                <c:pt idx="30">
                  <c:v>40.5</c:v>
                </c:pt>
                <c:pt idx="31">
                  <c:v>33.333333333333336</c:v>
                </c:pt>
                <c:pt idx="32">
                  <c:v>35.75</c:v>
                </c:pt>
                <c:pt idx="33">
                  <c:v>46.616666666666667</c:v>
                </c:pt>
                <c:pt idx="34">
                  <c:v>36.966666666666661</c:v>
                </c:pt>
                <c:pt idx="35">
                  <c:v>42.483333333333334</c:v>
                </c:pt>
                <c:pt idx="36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61-3D4C-9871-36ED81E1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Cumulative team time by lap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Runner</c:v>
          </c:tx>
          <c:cat>
            <c:numRef>
              <c:f>'Interesting Graphs'!$A$4:$A$40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'Interesting Graphs'!$B$4:$B$40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0-DD41-9551-49169C6C5946}"/>
            </c:ext>
          </c:extLst>
        </c:ser>
        <c:ser>
          <c:idx val="1"/>
          <c:order val="1"/>
          <c:tx>
            <c:v>Lap Time</c:v>
          </c:tx>
          <c:cat>
            <c:numRef>
              <c:f>'Interesting Graphs'!$A$4:$A$40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'Interesting Graphs'!$C$4:$C$40</c:f>
              <c:numCache>
                <c:formatCode>[h]:mm:ss</c:formatCode>
                <c:ptCount val="37"/>
                <c:pt idx="0">
                  <c:v>2.5671296296296296E-2</c:v>
                </c:pt>
                <c:pt idx="1">
                  <c:v>2.2118055555555554E-2</c:v>
                </c:pt>
                <c:pt idx="2">
                  <c:v>2.2465277777777778E-2</c:v>
                </c:pt>
                <c:pt idx="3">
                  <c:v>2.7835648148148148E-2</c:v>
                </c:pt>
                <c:pt idx="4">
                  <c:v>2.3738425925925927E-2</c:v>
                </c:pt>
                <c:pt idx="5">
                  <c:v>3.0891203703703702E-2</c:v>
                </c:pt>
                <c:pt idx="6">
                  <c:v>2.6932870370370371E-2</c:v>
                </c:pt>
                <c:pt idx="7">
                  <c:v>2.6319444444444444E-2</c:v>
                </c:pt>
                <c:pt idx="8">
                  <c:v>2.34375E-2</c:v>
                </c:pt>
                <c:pt idx="9">
                  <c:v>2.2280092592592591E-2</c:v>
                </c:pt>
                <c:pt idx="10">
                  <c:v>2.8703703703703703E-2</c:v>
                </c:pt>
                <c:pt idx="11">
                  <c:v>2.326388888888889E-2</c:v>
                </c:pt>
                <c:pt idx="12">
                  <c:v>3.0428240740740742E-2</c:v>
                </c:pt>
                <c:pt idx="13">
                  <c:v>2.6666666666666668E-2</c:v>
                </c:pt>
                <c:pt idx="14">
                  <c:v>2.582175925925926E-2</c:v>
                </c:pt>
                <c:pt idx="15">
                  <c:v>2.3113425925925926E-2</c:v>
                </c:pt>
                <c:pt idx="16">
                  <c:v>2.1412037037037038E-2</c:v>
                </c:pt>
                <c:pt idx="17">
                  <c:v>2.8506944444444446E-2</c:v>
                </c:pt>
                <c:pt idx="18">
                  <c:v>2.3877314814814816E-2</c:v>
                </c:pt>
                <c:pt idx="19">
                  <c:v>3.2638888888888891E-2</c:v>
                </c:pt>
                <c:pt idx="20">
                  <c:v>2.7152777777777779E-2</c:v>
                </c:pt>
                <c:pt idx="21">
                  <c:v>2.6238425925925925E-2</c:v>
                </c:pt>
                <c:pt idx="22">
                  <c:v>2.4872685185185185E-2</c:v>
                </c:pt>
                <c:pt idx="23">
                  <c:v>2.3981481481481482E-2</c:v>
                </c:pt>
                <c:pt idx="24">
                  <c:v>2.4444444444444446E-2</c:v>
                </c:pt>
                <c:pt idx="25">
                  <c:v>2.7291666666666665E-2</c:v>
                </c:pt>
                <c:pt idx="26">
                  <c:v>2.2905092592592591E-2</c:v>
                </c:pt>
                <c:pt idx="27">
                  <c:v>2.3622685185185184E-2</c:v>
                </c:pt>
                <c:pt idx="28">
                  <c:v>2.7395833333333335E-2</c:v>
                </c:pt>
                <c:pt idx="29">
                  <c:v>2.4444444444444446E-2</c:v>
                </c:pt>
                <c:pt idx="30">
                  <c:v>2.8125000000000001E-2</c:v>
                </c:pt>
                <c:pt idx="31">
                  <c:v>2.3148148148148147E-2</c:v>
                </c:pt>
                <c:pt idx="32">
                  <c:v>2.4826388888888887E-2</c:v>
                </c:pt>
                <c:pt idx="33">
                  <c:v>3.2372685185185185E-2</c:v>
                </c:pt>
                <c:pt idx="34">
                  <c:v>2.5671296296296296E-2</c:v>
                </c:pt>
                <c:pt idx="35">
                  <c:v>2.9502314814814815E-2</c:v>
                </c:pt>
                <c:pt idx="36">
                  <c:v>2.5277777777777777E-2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0-DD41-9551-49169C6C5946}"/>
            </c:ext>
          </c:extLst>
        </c:ser>
        <c:ser>
          <c:idx val="2"/>
          <c:order val="2"/>
          <c:tx>
            <c:v>Lap Minutes</c:v>
          </c:tx>
          <c:cat>
            <c:numRef>
              <c:f>'Interesting Graphs'!$A$4:$A$40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'Interesting Graphs'!$D$4:$D$40</c:f>
              <c:numCache>
                <c:formatCode>0.0</c:formatCode>
                <c:ptCount val="37"/>
                <c:pt idx="0">
                  <c:v>36.966666666666661</c:v>
                </c:pt>
                <c:pt idx="1">
                  <c:v>31.849999999999994</c:v>
                </c:pt>
                <c:pt idx="2">
                  <c:v>32.35</c:v>
                </c:pt>
                <c:pt idx="3">
                  <c:v>40.083333333333329</c:v>
                </c:pt>
                <c:pt idx="4">
                  <c:v>34.183333333333337</c:v>
                </c:pt>
                <c:pt idx="5">
                  <c:v>44.483333333333334</c:v>
                </c:pt>
                <c:pt idx="6">
                  <c:v>38.783333333333331</c:v>
                </c:pt>
                <c:pt idx="7">
                  <c:v>37.9</c:v>
                </c:pt>
                <c:pt idx="8">
                  <c:v>33.75</c:v>
                </c:pt>
                <c:pt idx="9">
                  <c:v>32.083333333333336</c:v>
                </c:pt>
                <c:pt idx="10">
                  <c:v>41.333333333333336</c:v>
                </c:pt>
                <c:pt idx="11">
                  <c:v>33.5</c:v>
                </c:pt>
                <c:pt idx="12">
                  <c:v>43.81666666666667</c:v>
                </c:pt>
                <c:pt idx="13">
                  <c:v>38.4</c:v>
                </c:pt>
                <c:pt idx="14">
                  <c:v>37.183333333333337</c:v>
                </c:pt>
                <c:pt idx="15">
                  <c:v>33.283333333333331</c:v>
                </c:pt>
                <c:pt idx="16">
                  <c:v>30.833333333333336</c:v>
                </c:pt>
                <c:pt idx="17">
                  <c:v>41.050000000000004</c:v>
                </c:pt>
                <c:pt idx="18">
                  <c:v>34.38333333333334</c:v>
                </c:pt>
                <c:pt idx="19">
                  <c:v>47.000000000000007</c:v>
                </c:pt>
                <c:pt idx="20">
                  <c:v>39.1</c:v>
                </c:pt>
                <c:pt idx="21">
                  <c:v>37.783333333333331</c:v>
                </c:pt>
                <c:pt idx="22">
                  <c:v>35.81666666666667</c:v>
                </c:pt>
                <c:pt idx="23">
                  <c:v>34.533333333333339</c:v>
                </c:pt>
                <c:pt idx="24">
                  <c:v>35.200000000000003</c:v>
                </c:pt>
                <c:pt idx="25">
                  <c:v>39.300000000000004</c:v>
                </c:pt>
                <c:pt idx="26">
                  <c:v>32.983333333333334</c:v>
                </c:pt>
                <c:pt idx="27">
                  <c:v>34.016666666666666</c:v>
                </c:pt>
                <c:pt idx="28">
                  <c:v>39.449999999999996</c:v>
                </c:pt>
                <c:pt idx="29">
                  <c:v>35.200000000000003</c:v>
                </c:pt>
                <c:pt idx="30">
                  <c:v>40.5</c:v>
                </c:pt>
                <c:pt idx="31">
                  <c:v>33.333333333333336</c:v>
                </c:pt>
                <c:pt idx="32">
                  <c:v>35.75</c:v>
                </c:pt>
                <c:pt idx="33">
                  <c:v>46.616666666666667</c:v>
                </c:pt>
                <c:pt idx="34">
                  <c:v>36.966666666666661</c:v>
                </c:pt>
                <c:pt idx="35">
                  <c:v>42.483333333333334</c:v>
                </c:pt>
                <c:pt idx="36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0-DD41-9551-49169C6C5946}"/>
            </c:ext>
          </c:extLst>
        </c:ser>
        <c:ser>
          <c:idx val="3"/>
          <c:order val="3"/>
          <c:tx>
            <c:v>Cumulative Minutes</c:v>
          </c:tx>
          <c:cat>
            <c:numRef>
              <c:f>'Interesting Graphs'!$A$4:$A$40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cat>
          <c:val>
            <c:numRef>
              <c:f>'Interesting Graphs'!$E$4:$E$40</c:f>
              <c:numCache>
                <c:formatCode>0.0</c:formatCode>
                <c:ptCount val="37"/>
                <c:pt idx="0">
                  <c:v>36.966666666666661</c:v>
                </c:pt>
                <c:pt idx="1">
                  <c:v>68.816666666666663</c:v>
                </c:pt>
                <c:pt idx="2">
                  <c:v>101.16666666666666</c:v>
                </c:pt>
                <c:pt idx="3">
                  <c:v>141.25</c:v>
                </c:pt>
                <c:pt idx="4">
                  <c:v>175.43333333333334</c:v>
                </c:pt>
                <c:pt idx="5">
                  <c:v>219.91666666666669</c:v>
                </c:pt>
                <c:pt idx="6">
                  <c:v>258.70000000000005</c:v>
                </c:pt>
                <c:pt idx="7">
                  <c:v>296.60000000000002</c:v>
                </c:pt>
                <c:pt idx="8">
                  <c:v>330.35</c:v>
                </c:pt>
                <c:pt idx="9">
                  <c:v>362.43333333333334</c:v>
                </c:pt>
                <c:pt idx="10">
                  <c:v>403.76666666666665</c:v>
                </c:pt>
                <c:pt idx="11">
                  <c:v>437.26666666666665</c:v>
                </c:pt>
                <c:pt idx="12">
                  <c:v>481.08333333333331</c:v>
                </c:pt>
                <c:pt idx="13">
                  <c:v>519.48333333333335</c:v>
                </c:pt>
                <c:pt idx="14">
                  <c:v>556.66666666666674</c:v>
                </c:pt>
                <c:pt idx="15">
                  <c:v>589.95000000000005</c:v>
                </c:pt>
                <c:pt idx="16">
                  <c:v>620.78333333333342</c:v>
                </c:pt>
                <c:pt idx="17">
                  <c:v>661.83333333333337</c:v>
                </c:pt>
                <c:pt idx="18">
                  <c:v>696.2166666666667</c:v>
                </c:pt>
                <c:pt idx="19">
                  <c:v>743.2166666666667</c:v>
                </c:pt>
                <c:pt idx="20">
                  <c:v>782.31666666666672</c:v>
                </c:pt>
                <c:pt idx="21">
                  <c:v>820.1</c:v>
                </c:pt>
                <c:pt idx="22">
                  <c:v>855.91666666666674</c:v>
                </c:pt>
                <c:pt idx="23">
                  <c:v>890.45</c:v>
                </c:pt>
                <c:pt idx="24">
                  <c:v>925.65000000000009</c:v>
                </c:pt>
                <c:pt idx="25">
                  <c:v>964.95</c:v>
                </c:pt>
                <c:pt idx="26">
                  <c:v>997.93333333333339</c:v>
                </c:pt>
                <c:pt idx="27">
                  <c:v>1031.95</c:v>
                </c:pt>
                <c:pt idx="28">
                  <c:v>1071.4000000000001</c:v>
                </c:pt>
                <c:pt idx="29">
                  <c:v>1106.6000000000001</c:v>
                </c:pt>
                <c:pt idx="30">
                  <c:v>1147.1000000000001</c:v>
                </c:pt>
                <c:pt idx="31">
                  <c:v>1180.4333333333334</c:v>
                </c:pt>
                <c:pt idx="32">
                  <c:v>1216.1833333333334</c:v>
                </c:pt>
                <c:pt idx="33">
                  <c:v>1262.8</c:v>
                </c:pt>
                <c:pt idx="34">
                  <c:v>1299.7666666666667</c:v>
                </c:pt>
                <c:pt idx="35">
                  <c:v>1342.25</c:v>
                </c:pt>
                <c:pt idx="36">
                  <c:v>1378.65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90-DD41-9551-49169C6C5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Runner pace profile (minutes)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Lap Min</c:v>
          </c:tx>
          <c:invertIfNegative val="1"/>
          <c:cat>
            <c:strRef>
              <c:f>'Interesting Graphs'!$H$15:$H$21</c:f>
              <c:strCache>
                <c:ptCount val="7"/>
                <c:pt idx="0">
                  <c:v>Jared Taylor</c:v>
                </c:pt>
                <c:pt idx="1">
                  <c:v>Toby Waxman</c:v>
                </c:pt>
                <c:pt idx="2">
                  <c:v>Rory Myner</c:v>
                </c:pt>
                <c:pt idx="3">
                  <c:v>Craig Losh</c:v>
                </c:pt>
                <c:pt idx="4">
                  <c:v>Becca Hawkins</c:v>
                </c:pt>
                <c:pt idx="5">
                  <c:v>James Ponsford</c:v>
                </c:pt>
                <c:pt idx="6">
                  <c:v>Ellie Dorsman</c:v>
                </c:pt>
              </c:strCache>
            </c:strRef>
          </c:cat>
          <c:val>
            <c:numRef>
              <c:f>'Interesting Graphs'!$I$15:$I$21</c:f>
              <c:numCache>
                <c:formatCode>0.0</c:formatCode>
                <c:ptCount val="7"/>
                <c:pt idx="0">
                  <c:v>33.261111111111113</c:v>
                </c:pt>
                <c:pt idx="1">
                  <c:v>33.916666666666664</c:v>
                </c:pt>
                <c:pt idx="2">
                  <c:v>34.905555555555559</c:v>
                </c:pt>
                <c:pt idx="3">
                  <c:v>38.87380952380952</c:v>
                </c:pt>
                <c:pt idx="4">
                  <c:v>38.933333333333337</c:v>
                </c:pt>
                <c:pt idx="5">
                  <c:v>40.822222222222223</c:v>
                </c:pt>
                <c:pt idx="6">
                  <c:v>45.479166666666671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F-EF44-9A2F-A59F3ED21AFE}"/>
            </c:ext>
          </c:extLst>
        </c:ser>
        <c:ser>
          <c:idx val="1"/>
          <c:order val="1"/>
          <c:tx>
            <c:v>Fastest Lap Min</c:v>
          </c:tx>
          <c:invertIfNegative val="1"/>
          <c:cat>
            <c:strRef>
              <c:f>'Interesting Graphs'!$H$15:$H$21</c:f>
              <c:strCache>
                <c:ptCount val="7"/>
                <c:pt idx="0">
                  <c:v>Jared Taylor</c:v>
                </c:pt>
                <c:pt idx="1">
                  <c:v>Toby Waxman</c:v>
                </c:pt>
                <c:pt idx="2">
                  <c:v>Rory Myner</c:v>
                </c:pt>
                <c:pt idx="3">
                  <c:v>Craig Losh</c:v>
                </c:pt>
                <c:pt idx="4">
                  <c:v>Becca Hawkins</c:v>
                </c:pt>
                <c:pt idx="5">
                  <c:v>James Ponsford</c:v>
                </c:pt>
                <c:pt idx="6">
                  <c:v>Ellie Dorsman</c:v>
                </c:pt>
              </c:strCache>
            </c:strRef>
          </c:cat>
          <c:val>
            <c:numRef>
              <c:f>'Interesting Graphs'!$J$15:$J$21</c:f>
              <c:numCache>
                <c:formatCode>0.0</c:formatCode>
                <c:ptCount val="7"/>
                <c:pt idx="0">
                  <c:v>30.833333333333336</c:v>
                </c:pt>
                <c:pt idx="1">
                  <c:v>31.849999999999994</c:v>
                </c:pt>
                <c:pt idx="2">
                  <c:v>33.5</c:v>
                </c:pt>
                <c:pt idx="3">
                  <c:v>36.966666666666661</c:v>
                </c:pt>
                <c:pt idx="4">
                  <c:v>38.4</c:v>
                </c:pt>
                <c:pt idx="5">
                  <c:v>40.083333333333329</c:v>
                </c:pt>
                <c:pt idx="6">
                  <c:v>43.81666666666667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F-EF44-9A2F-A59F3ED21AFE}"/>
            </c:ext>
          </c:extLst>
        </c:ser>
        <c:ser>
          <c:idx val="2"/>
          <c:order val="2"/>
          <c:tx>
            <c:v>Slowest Lap Min</c:v>
          </c:tx>
          <c:invertIfNegative val="1"/>
          <c:cat>
            <c:strRef>
              <c:f>'Interesting Graphs'!$H$15:$H$21</c:f>
              <c:strCache>
                <c:ptCount val="7"/>
                <c:pt idx="0">
                  <c:v>Jared Taylor</c:v>
                </c:pt>
                <c:pt idx="1">
                  <c:v>Toby Waxman</c:v>
                </c:pt>
                <c:pt idx="2">
                  <c:v>Rory Myner</c:v>
                </c:pt>
                <c:pt idx="3">
                  <c:v>Craig Losh</c:v>
                </c:pt>
                <c:pt idx="4">
                  <c:v>Becca Hawkins</c:v>
                </c:pt>
                <c:pt idx="5">
                  <c:v>James Ponsford</c:v>
                </c:pt>
                <c:pt idx="6">
                  <c:v>Ellie Dorsman</c:v>
                </c:pt>
              </c:strCache>
            </c:strRef>
          </c:cat>
          <c:val>
            <c:numRef>
              <c:f>'Interesting Graphs'!$K$15:$K$21</c:f>
              <c:numCache>
                <c:formatCode>0.0</c:formatCode>
                <c:ptCount val="7"/>
                <c:pt idx="0">
                  <c:v>35.75</c:v>
                </c:pt>
                <c:pt idx="1">
                  <c:v>36.4</c:v>
                </c:pt>
                <c:pt idx="2">
                  <c:v>36.966666666666661</c:v>
                </c:pt>
                <c:pt idx="3">
                  <c:v>42.483333333333334</c:v>
                </c:pt>
                <c:pt idx="4">
                  <c:v>39.449999999999996</c:v>
                </c:pt>
                <c:pt idx="5">
                  <c:v>41.333333333333336</c:v>
                </c:pt>
                <c:pt idx="6">
                  <c:v>47.000000000000007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F-EF44-9A2F-A59F3ED21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Laps completed by runner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Laps</c:v>
          </c:tx>
          <c:invertIfNegative val="1"/>
          <c:cat>
            <c:strRef>
              <c:f>'Interesting Graphs'!$H$4:$H$10</c:f>
              <c:strCache>
                <c:ptCount val="7"/>
                <c:pt idx="0">
                  <c:v>Toby Waxman</c:v>
                </c:pt>
                <c:pt idx="1">
                  <c:v>Craig Losh</c:v>
                </c:pt>
                <c:pt idx="2">
                  <c:v>Jared Taylor</c:v>
                </c:pt>
                <c:pt idx="3">
                  <c:v>Rory Myner</c:v>
                </c:pt>
                <c:pt idx="4">
                  <c:v>Becca Hawkins</c:v>
                </c:pt>
                <c:pt idx="5">
                  <c:v>Ellie Dorsman</c:v>
                </c:pt>
                <c:pt idx="6">
                  <c:v>James Ponsford</c:v>
                </c:pt>
              </c:strCache>
            </c:strRef>
          </c:cat>
          <c:val>
            <c:numRef>
              <c:f>'Interesting Graphs'!$I$4:$I$10</c:f>
              <c:numCache>
                <c:formatCode>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F-7443-8675-0190D7335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Top 10 fastest laps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Runner</c:v>
          </c:tx>
          <c:invertIfNegative val="1"/>
          <c:cat>
            <c:numRef>
              <c:f>'Interesting Graphs'!$N$4:$N$13</c:f>
              <c:numCache>
                <c:formatCode>0.0</c:formatCode>
                <c:ptCount val="10"/>
                <c:pt idx="0">
                  <c:v>17</c:v>
                </c:pt>
                <c:pt idx="1">
                  <c:v>2</c:v>
                </c:pt>
                <c:pt idx="2">
                  <c:v>10</c:v>
                </c:pt>
                <c:pt idx="3">
                  <c:v>3</c:v>
                </c:pt>
                <c:pt idx="4">
                  <c:v>27</c:v>
                </c:pt>
                <c:pt idx="5">
                  <c:v>16</c:v>
                </c:pt>
                <c:pt idx="6">
                  <c:v>32</c:v>
                </c:pt>
                <c:pt idx="7" formatCode="General">
                  <c:v>12</c:v>
                </c:pt>
                <c:pt idx="8" formatCode="General">
                  <c:v>9</c:v>
                </c:pt>
                <c:pt idx="9" formatCode="General">
                  <c:v>28</c:v>
                </c:pt>
              </c:numCache>
            </c:numRef>
          </c:cat>
          <c:val>
            <c:numRef>
              <c:f>'Interesting Graphs'!$O$4:$O$13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D-8443-AA1C-069EB1E3DF04}"/>
            </c:ext>
          </c:extLst>
        </c:ser>
        <c:ser>
          <c:idx val="1"/>
          <c:order val="1"/>
          <c:tx>
            <c:v>Lap Min</c:v>
          </c:tx>
          <c:invertIfNegative val="1"/>
          <c:cat>
            <c:numRef>
              <c:f>'Interesting Graphs'!$N$4:$N$13</c:f>
              <c:numCache>
                <c:formatCode>0.0</c:formatCode>
                <c:ptCount val="10"/>
                <c:pt idx="0">
                  <c:v>17</c:v>
                </c:pt>
                <c:pt idx="1">
                  <c:v>2</c:v>
                </c:pt>
                <c:pt idx="2">
                  <c:v>10</c:v>
                </c:pt>
                <c:pt idx="3">
                  <c:v>3</c:v>
                </c:pt>
                <c:pt idx="4">
                  <c:v>27</c:v>
                </c:pt>
                <c:pt idx="5">
                  <c:v>16</c:v>
                </c:pt>
                <c:pt idx="6">
                  <c:v>32</c:v>
                </c:pt>
                <c:pt idx="7" formatCode="General">
                  <c:v>12</c:v>
                </c:pt>
                <c:pt idx="8" formatCode="General">
                  <c:v>9</c:v>
                </c:pt>
                <c:pt idx="9" formatCode="General">
                  <c:v>28</c:v>
                </c:pt>
              </c:numCache>
            </c:numRef>
          </c:cat>
          <c:val>
            <c:numRef>
              <c:f>'Interesting Graphs'!$P$4:$P$13</c:f>
              <c:numCache>
                <c:formatCode>0.0</c:formatCode>
                <c:ptCount val="10"/>
                <c:pt idx="0">
                  <c:v>30.833333333333336</c:v>
                </c:pt>
                <c:pt idx="1">
                  <c:v>31.849999999999994</c:v>
                </c:pt>
                <c:pt idx="2">
                  <c:v>32.083333333333336</c:v>
                </c:pt>
                <c:pt idx="3">
                  <c:v>32.35</c:v>
                </c:pt>
                <c:pt idx="4">
                  <c:v>32.983333333333334</c:v>
                </c:pt>
                <c:pt idx="5">
                  <c:v>33.283333333333331</c:v>
                </c:pt>
                <c:pt idx="6">
                  <c:v>33.333333333333336</c:v>
                </c:pt>
                <c:pt idx="7">
                  <c:v>33.5</c:v>
                </c:pt>
                <c:pt idx="8">
                  <c:v>33.75</c:v>
                </c:pt>
                <c:pt idx="9">
                  <c:v>34.016666666666666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D-8443-AA1C-069EB1E3D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Consistency: lap time standard deviation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Std Dev Sec</c:v>
          </c:tx>
          <c:invertIfNegative val="1"/>
          <c:cat>
            <c:strRef>
              <c:f>'Interesting Graphs'!$N$17:$N$23</c:f>
              <c:strCache>
                <c:ptCount val="7"/>
                <c:pt idx="0">
                  <c:v>Becca Hawkins</c:v>
                </c:pt>
                <c:pt idx="1">
                  <c:v>James Ponsford</c:v>
                </c:pt>
                <c:pt idx="2">
                  <c:v>Rory Myner</c:v>
                </c:pt>
                <c:pt idx="3">
                  <c:v>Ellie Dorsman</c:v>
                </c:pt>
                <c:pt idx="4">
                  <c:v>Toby Waxman</c:v>
                </c:pt>
                <c:pt idx="5">
                  <c:v>Jared Taylor</c:v>
                </c:pt>
                <c:pt idx="6">
                  <c:v>Craig Losh</c:v>
                </c:pt>
              </c:strCache>
            </c:strRef>
          </c:cat>
          <c:val>
            <c:numRef>
              <c:f>'Interesting Graphs'!$O$17:$O$23</c:f>
              <c:numCache>
                <c:formatCode>0.0</c:formatCode>
                <c:ptCount val="7"/>
                <c:pt idx="0">
                  <c:v>26.870057685088767</c:v>
                </c:pt>
                <c:pt idx="1">
                  <c:v>39.323445084750063</c:v>
                </c:pt>
                <c:pt idx="2">
                  <c:v>71.957394801831484</c:v>
                </c:pt>
                <c:pt idx="3">
                  <c:v>93.994237412017327</c:v>
                </c:pt>
                <c:pt idx="4">
                  <c:v>97.02061636580143</c:v>
                </c:pt>
                <c:pt idx="5">
                  <c:v>108.98012051134218</c:v>
                </c:pt>
                <c:pt idx="6">
                  <c:v>121.21173917688719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B-7B4B-9599-4BCF8B714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7</xdr:col>
      <xdr:colOff>0</xdr:colOff>
      <xdr:row>70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3921A4A8-67C9-C34B-A30B-DAF14FF60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14</xdr:col>
      <xdr:colOff>0</xdr:colOff>
      <xdr:row>70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4AA2AD4C-8036-A94B-B2F7-05CC00AB0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7</xdr:col>
      <xdr:colOff>0</xdr:colOff>
      <xdr:row>92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8E673D24-0B6A-AD4B-8812-1FA333885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71</xdr:row>
      <xdr:rowOff>0</xdr:rowOff>
    </xdr:from>
    <xdr:to>
      <xdr:col>14</xdr:col>
      <xdr:colOff>0</xdr:colOff>
      <xdr:row>92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A6D8541C-EAF0-934D-9E44-F0EFE5964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93</xdr:row>
      <xdr:rowOff>0</xdr:rowOff>
    </xdr:from>
    <xdr:to>
      <xdr:col>7</xdr:col>
      <xdr:colOff>0</xdr:colOff>
      <xdr:row>114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48D4959A-297F-3149-80D8-95CA7E68C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93</xdr:row>
      <xdr:rowOff>0</xdr:rowOff>
    </xdr:from>
    <xdr:to>
      <xdr:col>14</xdr:col>
      <xdr:colOff>0</xdr:colOff>
      <xdr:row>114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B73ADAD5-0D74-3B48-9A83-199D8099D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obywaxman/Downloads/endure_with_interesting_graphs_corrected.xlsx" TargetMode="External"/><Relationship Id="rId1" Type="http://schemas.openxmlformats.org/officeDocument/2006/relationships/externalLinkPath" Target="endure_with_interesting_graphs_corr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s"/>
      <sheetName val="Export"/>
      <sheetName val="Sheet1"/>
      <sheetName val="Sheet3"/>
      <sheetName val="Sheet2"/>
      <sheetName val="Interesting Graphs"/>
    </sheetNames>
    <sheetDataSet>
      <sheetData sheetId="0"/>
      <sheetData sheetId="1"/>
      <sheetData sheetId="2"/>
      <sheetData sheetId="3"/>
      <sheetData sheetId="4"/>
      <sheetData sheetId="5">
        <row r="4">
          <cell r="A4">
            <v>1</v>
          </cell>
          <cell r="B4" t="str">
            <v>Craig Losh</v>
          </cell>
          <cell r="C4">
            <v>2.5671296296296296E-2</v>
          </cell>
          <cell r="D4">
            <v>36.966666666666661</v>
          </cell>
          <cell r="E4">
            <v>36.966666666666661</v>
          </cell>
          <cell r="H4" t="str">
            <v>Toby Waxman</v>
          </cell>
          <cell r="I4">
            <v>7</v>
          </cell>
          <cell r="N4">
            <v>17</v>
          </cell>
          <cell r="O4" t="str">
            <v>Jared Taylor</v>
          </cell>
          <cell r="P4">
            <v>30.833333333333336</v>
          </cell>
        </row>
        <row r="5">
          <cell r="A5">
            <v>2</v>
          </cell>
          <cell r="B5" t="str">
            <v>Toby Waxman</v>
          </cell>
          <cell r="C5">
            <v>2.2118055555555554E-2</v>
          </cell>
          <cell r="D5">
            <v>31.849999999999994</v>
          </cell>
          <cell r="E5">
            <v>68.816666666666663</v>
          </cell>
          <cell r="H5" t="str">
            <v>Craig Losh</v>
          </cell>
          <cell r="I5">
            <v>7</v>
          </cell>
          <cell r="N5">
            <v>2</v>
          </cell>
          <cell r="O5" t="str">
            <v>Toby Waxman</v>
          </cell>
          <cell r="P5">
            <v>31.849999999999994</v>
          </cell>
        </row>
        <row r="6">
          <cell r="A6">
            <v>3</v>
          </cell>
          <cell r="B6" t="str">
            <v>Jared Taylor</v>
          </cell>
          <cell r="C6">
            <v>2.2465277777777778E-2</v>
          </cell>
          <cell r="D6">
            <v>32.35</v>
          </cell>
          <cell r="E6">
            <v>101.16666666666666</v>
          </cell>
          <cell r="H6" t="str">
            <v>Jared Taylor</v>
          </cell>
          <cell r="I6">
            <v>6</v>
          </cell>
          <cell r="N6">
            <v>10</v>
          </cell>
          <cell r="O6" t="str">
            <v>Jared Taylor</v>
          </cell>
          <cell r="P6">
            <v>32.083333333333336</v>
          </cell>
        </row>
        <row r="7">
          <cell r="A7">
            <v>4</v>
          </cell>
          <cell r="B7" t="str">
            <v>James Ponsford</v>
          </cell>
          <cell r="C7">
            <v>2.7835648148148148E-2</v>
          </cell>
          <cell r="D7">
            <v>40.083333333333329</v>
          </cell>
          <cell r="E7">
            <v>141.25</v>
          </cell>
          <cell r="H7" t="str">
            <v>Rory Myner</v>
          </cell>
          <cell r="I7">
            <v>6</v>
          </cell>
          <cell r="N7">
            <v>3</v>
          </cell>
          <cell r="O7" t="str">
            <v>Jared Taylor</v>
          </cell>
          <cell r="P7">
            <v>32.35</v>
          </cell>
        </row>
        <row r="8">
          <cell r="A8">
            <v>5</v>
          </cell>
          <cell r="B8" t="str">
            <v>Rory Myner</v>
          </cell>
          <cell r="C8">
            <v>2.3738425925925927E-2</v>
          </cell>
          <cell r="D8">
            <v>34.183333333333337</v>
          </cell>
          <cell r="E8">
            <v>175.43333333333334</v>
          </cell>
          <cell r="H8" t="str">
            <v>Becca Hawkins</v>
          </cell>
          <cell r="I8">
            <v>4</v>
          </cell>
          <cell r="N8">
            <v>27</v>
          </cell>
          <cell r="O8" t="str">
            <v>Toby Waxman</v>
          </cell>
          <cell r="P8">
            <v>32.983333333333334</v>
          </cell>
        </row>
        <row r="9">
          <cell r="A9">
            <v>6</v>
          </cell>
          <cell r="B9" t="str">
            <v>Ellie Dorsman</v>
          </cell>
          <cell r="C9">
            <v>3.0891203703703702E-2</v>
          </cell>
          <cell r="D9">
            <v>44.483333333333334</v>
          </cell>
          <cell r="E9">
            <v>219.91666666666669</v>
          </cell>
          <cell r="H9" t="str">
            <v>Ellie Dorsman</v>
          </cell>
          <cell r="I9">
            <v>4</v>
          </cell>
          <cell r="N9">
            <v>16</v>
          </cell>
          <cell r="O9" t="str">
            <v>Toby Waxman</v>
          </cell>
          <cell r="P9">
            <v>33.283333333333331</v>
          </cell>
        </row>
        <row r="10">
          <cell r="A10">
            <v>7</v>
          </cell>
          <cell r="B10" t="str">
            <v>Becca Hawkins</v>
          </cell>
          <cell r="C10">
            <v>2.6932870370370371E-2</v>
          </cell>
          <cell r="D10">
            <v>38.783333333333331</v>
          </cell>
          <cell r="E10">
            <v>258.70000000000005</v>
          </cell>
          <cell r="H10" t="str">
            <v>James Ponsford</v>
          </cell>
          <cell r="I10">
            <v>3</v>
          </cell>
          <cell r="N10">
            <v>32</v>
          </cell>
          <cell r="O10" t="str">
            <v>Toby Waxman</v>
          </cell>
          <cell r="P10">
            <v>33.333333333333336</v>
          </cell>
        </row>
        <row r="11">
          <cell r="A11">
            <v>8</v>
          </cell>
          <cell r="B11" t="str">
            <v>Craig Losh</v>
          </cell>
          <cell r="C11">
            <v>2.6319444444444444E-2</v>
          </cell>
          <cell r="D11">
            <v>37.9</v>
          </cell>
          <cell r="E11">
            <v>296.60000000000002</v>
          </cell>
          <cell r="N11">
            <v>12</v>
          </cell>
          <cell r="O11" t="str">
            <v>Rory Myner</v>
          </cell>
          <cell r="P11">
            <v>33.5</v>
          </cell>
        </row>
        <row r="12">
          <cell r="A12">
            <v>9</v>
          </cell>
          <cell r="B12" t="str">
            <v>Toby Waxman</v>
          </cell>
          <cell r="C12">
            <v>2.34375E-2</v>
          </cell>
          <cell r="D12">
            <v>33.75</v>
          </cell>
          <cell r="E12">
            <v>330.35</v>
          </cell>
          <cell r="N12">
            <v>9</v>
          </cell>
          <cell r="O12" t="str">
            <v>Toby Waxman</v>
          </cell>
          <cell r="P12">
            <v>33.75</v>
          </cell>
        </row>
        <row r="13">
          <cell r="A13">
            <v>10</v>
          </cell>
          <cell r="B13" t="str">
            <v>Jared Taylor</v>
          </cell>
          <cell r="C13">
            <v>2.2280092592592591E-2</v>
          </cell>
          <cell r="D13">
            <v>32.083333333333336</v>
          </cell>
          <cell r="E13">
            <v>362.43333333333334</v>
          </cell>
          <cell r="N13">
            <v>28</v>
          </cell>
          <cell r="O13" t="str">
            <v>Jared Taylor</v>
          </cell>
          <cell r="P13">
            <v>34.016666666666666</v>
          </cell>
        </row>
        <row r="14">
          <cell r="A14">
            <v>11</v>
          </cell>
          <cell r="B14" t="str">
            <v>James Ponsford</v>
          </cell>
          <cell r="C14">
            <v>2.8703703703703703E-2</v>
          </cell>
          <cell r="D14">
            <v>41.333333333333336</v>
          </cell>
          <cell r="E14">
            <v>403.76666666666665</v>
          </cell>
        </row>
        <row r="15">
          <cell r="A15">
            <v>12</v>
          </cell>
          <cell r="B15" t="str">
            <v>Rory Myner</v>
          </cell>
          <cell r="C15">
            <v>2.326388888888889E-2</v>
          </cell>
          <cell r="D15">
            <v>33.5</v>
          </cell>
          <cell r="E15">
            <v>437.26666666666665</v>
          </cell>
          <cell r="H15" t="str">
            <v>Jared Taylor</v>
          </cell>
          <cell r="I15">
            <v>33.261111111111113</v>
          </cell>
          <cell r="J15">
            <v>30.833333333333336</v>
          </cell>
          <cell r="K15">
            <v>35.75</v>
          </cell>
        </row>
        <row r="16">
          <cell r="A16">
            <v>13</v>
          </cell>
          <cell r="B16" t="str">
            <v>Ellie Dorsman</v>
          </cell>
          <cell r="C16">
            <v>3.0428240740740742E-2</v>
          </cell>
          <cell r="D16">
            <v>43.81666666666667</v>
          </cell>
          <cell r="E16">
            <v>481.08333333333331</v>
          </cell>
          <cell r="H16" t="str">
            <v>Toby Waxman</v>
          </cell>
          <cell r="I16">
            <v>33.916666666666664</v>
          </cell>
          <cell r="J16">
            <v>31.849999999999994</v>
          </cell>
          <cell r="K16">
            <v>36.4</v>
          </cell>
        </row>
        <row r="17">
          <cell r="A17">
            <v>14</v>
          </cell>
          <cell r="B17" t="str">
            <v>Becca Hawkins</v>
          </cell>
          <cell r="C17">
            <v>2.6666666666666668E-2</v>
          </cell>
          <cell r="D17">
            <v>38.4</v>
          </cell>
          <cell r="E17">
            <v>519.48333333333335</v>
          </cell>
          <cell r="H17" t="str">
            <v>Rory Myner</v>
          </cell>
          <cell r="I17">
            <v>34.905555555555559</v>
          </cell>
          <cell r="J17">
            <v>33.5</v>
          </cell>
          <cell r="K17">
            <v>36.966666666666661</v>
          </cell>
          <cell r="N17" t="str">
            <v>Becca Hawkins</v>
          </cell>
          <cell r="O17">
            <v>26.870057685088767</v>
          </cell>
        </row>
        <row r="18">
          <cell r="A18">
            <v>15</v>
          </cell>
          <cell r="B18" t="str">
            <v>Craig Losh</v>
          </cell>
          <cell r="C18">
            <v>2.582175925925926E-2</v>
          </cell>
          <cell r="D18">
            <v>37.183333333333337</v>
          </cell>
          <cell r="E18">
            <v>556.66666666666674</v>
          </cell>
          <cell r="H18" t="str">
            <v>Craig Losh</v>
          </cell>
          <cell r="I18">
            <v>38.87380952380952</v>
          </cell>
          <cell r="J18">
            <v>36.966666666666661</v>
          </cell>
          <cell r="K18">
            <v>42.483333333333334</v>
          </cell>
          <cell r="N18" t="str">
            <v>James Ponsford</v>
          </cell>
          <cell r="O18">
            <v>39.323445084750063</v>
          </cell>
        </row>
        <row r="19">
          <cell r="A19">
            <v>16</v>
          </cell>
          <cell r="B19" t="str">
            <v>Toby Waxman</v>
          </cell>
          <cell r="C19">
            <v>2.3113425925925926E-2</v>
          </cell>
          <cell r="D19">
            <v>33.283333333333331</v>
          </cell>
          <cell r="E19">
            <v>589.95000000000005</v>
          </cell>
          <cell r="H19" t="str">
            <v>Becca Hawkins</v>
          </cell>
          <cell r="I19">
            <v>38.933333333333337</v>
          </cell>
          <cell r="J19">
            <v>38.4</v>
          </cell>
          <cell r="K19">
            <v>39.449999999999996</v>
          </cell>
          <cell r="N19" t="str">
            <v>Rory Myner</v>
          </cell>
          <cell r="O19">
            <v>71.957394801831484</v>
          </cell>
        </row>
        <row r="20">
          <cell r="A20">
            <v>17</v>
          </cell>
          <cell r="B20" t="str">
            <v>Jared Taylor</v>
          </cell>
          <cell r="C20">
            <v>2.1412037037037038E-2</v>
          </cell>
          <cell r="D20">
            <v>30.833333333333336</v>
          </cell>
          <cell r="E20">
            <v>620.78333333333342</v>
          </cell>
          <cell r="H20" t="str">
            <v>James Ponsford</v>
          </cell>
          <cell r="I20">
            <v>40.822222222222223</v>
          </cell>
          <cell r="J20">
            <v>40.083333333333329</v>
          </cell>
          <cell r="K20">
            <v>41.333333333333336</v>
          </cell>
          <cell r="N20" t="str">
            <v>Ellie Dorsman</v>
          </cell>
          <cell r="O20">
            <v>93.994237412017327</v>
          </cell>
        </row>
        <row r="21">
          <cell r="A21">
            <v>18</v>
          </cell>
          <cell r="B21" t="str">
            <v>James Ponsford</v>
          </cell>
          <cell r="C21">
            <v>2.8506944444444446E-2</v>
          </cell>
          <cell r="D21">
            <v>41.050000000000004</v>
          </cell>
          <cell r="E21">
            <v>661.83333333333337</v>
          </cell>
          <cell r="H21" t="str">
            <v>Ellie Dorsman</v>
          </cell>
          <cell r="I21">
            <v>45.479166666666671</v>
          </cell>
          <cell r="J21">
            <v>43.81666666666667</v>
          </cell>
          <cell r="K21">
            <v>47.000000000000007</v>
          </cell>
          <cell r="N21" t="str">
            <v>Toby Waxman</v>
          </cell>
          <cell r="O21">
            <v>97.02061636580143</v>
          </cell>
        </row>
        <row r="22">
          <cell r="A22">
            <v>19</v>
          </cell>
          <cell r="B22" t="str">
            <v>Rory Myner</v>
          </cell>
          <cell r="C22">
            <v>2.3877314814814816E-2</v>
          </cell>
          <cell r="D22">
            <v>34.38333333333334</v>
          </cell>
          <cell r="E22">
            <v>696.2166666666667</v>
          </cell>
          <cell r="N22" t="str">
            <v>Jared Taylor</v>
          </cell>
          <cell r="O22">
            <v>108.98012051134218</v>
          </cell>
        </row>
        <row r="23">
          <cell r="A23">
            <v>20</v>
          </cell>
          <cell r="B23" t="str">
            <v>Ellie Dorsman</v>
          </cell>
          <cell r="C23">
            <v>3.2638888888888891E-2</v>
          </cell>
          <cell r="D23">
            <v>47.000000000000007</v>
          </cell>
          <cell r="E23">
            <v>743.2166666666667</v>
          </cell>
          <cell r="N23" t="str">
            <v>Craig Losh</v>
          </cell>
          <cell r="O23">
            <v>121.21173917688719</v>
          </cell>
        </row>
        <row r="24">
          <cell r="A24">
            <v>21</v>
          </cell>
          <cell r="B24" t="str">
            <v>Becca Hawkins</v>
          </cell>
          <cell r="C24">
            <v>2.7152777777777779E-2</v>
          </cell>
          <cell r="D24">
            <v>39.1</v>
          </cell>
          <cell r="E24">
            <v>782.31666666666672</v>
          </cell>
        </row>
        <row r="25">
          <cell r="A25">
            <v>22</v>
          </cell>
          <cell r="B25" t="str">
            <v>Craig Losh</v>
          </cell>
          <cell r="C25">
            <v>2.6238425925925925E-2</v>
          </cell>
          <cell r="D25">
            <v>37.783333333333331</v>
          </cell>
          <cell r="E25">
            <v>820.1</v>
          </cell>
        </row>
        <row r="26">
          <cell r="A26">
            <v>23</v>
          </cell>
          <cell r="B26" t="str">
            <v>Toby Waxman</v>
          </cell>
          <cell r="C26">
            <v>2.4872685185185185E-2</v>
          </cell>
          <cell r="D26">
            <v>35.81666666666667</v>
          </cell>
          <cell r="E26">
            <v>855.91666666666674</v>
          </cell>
        </row>
        <row r="27">
          <cell r="A27">
            <v>24</v>
          </cell>
          <cell r="B27" t="str">
            <v>Jared Taylor</v>
          </cell>
          <cell r="C27">
            <v>2.3981481481481482E-2</v>
          </cell>
          <cell r="D27">
            <v>34.533333333333339</v>
          </cell>
          <cell r="E27">
            <v>890.45</v>
          </cell>
        </row>
        <row r="28">
          <cell r="A28">
            <v>25</v>
          </cell>
          <cell r="B28" t="str">
            <v>Rory Myner</v>
          </cell>
          <cell r="C28">
            <v>2.4444444444444446E-2</v>
          </cell>
          <cell r="D28">
            <v>35.200000000000003</v>
          </cell>
          <cell r="E28">
            <v>925.65000000000009</v>
          </cell>
        </row>
        <row r="29">
          <cell r="A29">
            <v>26</v>
          </cell>
          <cell r="B29" t="str">
            <v>Craig Losh</v>
          </cell>
          <cell r="C29">
            <v>2.7291666666666665E-2</v>
          </cell>
          <cell r="D29">
            <v>39.300000000000004</v>
          </cell>
          <cell r="E29">
            <v>964.95</v>
          </cell>
        </row>
        <row r="30">
          <cell r="A30">
            <v>27</v>
          </cell>
          <cell r="B30" t="str">
            <v>Toby Waxman</v>
          </cell>
          <cell r="C30">
            <v>2.2905092592592591E-2</v>
          </cell>
          <cell r="D30">
            <v>32.983333333333334</v>
          </cell>
          <cell r="E30">
            <v>997.93333333333339</v>
          </cell>
        </row>
        <row r="31">
          <cell r="A31">
            <v>28</v>
          </cell>
          <cell r="B31" t="str">
            <v>Jared Taylor</v>
          </cell>
          <cell r="C31">
            <v>2.3622685185185184E-2</v>
          </cell>
          <cell r="D31">
            <v>34.016666666666666</v>
          </cell>
          <cell r="E31">
            <v>1031.95</v>
          </cell>
        </row>
        <row r="32">
          <cell r="A32">
            <v>29</v>
          </cell>
          <cell r="B32" t="str">
            <v>Becca Hawkins</v>
          </cell>
          <cell r="C32">
            <v>2.7395833333333335E-2</v>
          </cell>
          <cell r="D32">
            <v>39.449999999999996</v>
          </cell>
          <cell r="E32">
            <v>1071.4000000000001</v>
          </cell>
        </row>
        <row r="33">
          <cell r="A33">
            <v>30</v>
          </cell>
          <cell r="B33" t="str">
            <v>Rory Myner</v>
          </cell>
          <cell r="C33">
            <v>2.4444444444444446E-2</v>
          </cell>
          <cell r="D33">
            <v>35.200000000000003</v>
          </cell>
          <cell r="E33">
            <v>1106.6000000000001</v>
          </cell>
        </row>
        <row r="34">
          <cell r="A34">
            <v>31</v>
          </cell>
          <cell r="B34" t="str">
            <v>Craig Losh</v>
          </cell>
          <cell r="C34">
            <v>2.8125000000000001E-2</v>
          </cell>
          <cell r="D34">
            <v>40.5</v>
          </cell>
          <cell r="E34">
            <v>1147.1000000000001</v>
          </cell>
        </row>
        <row r="35">
          <cell r="A35">
            <v>32</v>
          </cell>
          <cell r="B35" t="str">
            <v>Toby Waxman</v>
          </cell>
          <cell r="C35">
            <v>2.3148148148148147E-2</v>
          </cell>
          <cell r="D35">
            <v>33.333333333333336</v>
          </cell>
          <cell r="E35">
            <v>1180.4333333333334</v>
          </cell>
        </row>
        <row r="36">
          <cell r="A36">
            <v>33</v>
          </cell>
          <cell r="B36" t="str">
            <v>Jared Taylor</v>
          </cell>
          <cell r="C36">
            <v>2.4826388888888887E-2</v>
          </cell>
          <cell r="D36">
            <v>35.75</v>
          </cell>
          <cell r="E36">
            <v>1216.1833333333334</v>
          </cell>
        </row>
        <row r="37">
          <cell r="A37">
            <v>34</v>
          </cell>
          <cell r="B37" t="str">
            <v>Ellie Dorsman</v>
          </cell>
          <cell r="C37">
            <v>3.2372685185185185E-2</v>
          </cell>
          <cell r="D37">
            <v>46.616666666666667</v>
          </cell>
          <cell r="E37">
            <v>1262.8</v>
          </cell>
        </row>
        <row r="38">
          <cell r="A38">
            <v>35</v>
          </cell>
          <cell r="B38" t="str">
            <v>Rory Myner</v>
          </cell>
          <cell r="C38">
            <v>2.5671296296296296E-2</v>
          </cell>
          <cell r="D38">
            <v>36.966666666666661</v>
          </cell>
          <cell r="E38">
            <v>1299.7666666666667</v>
          </cell>
        </row>
        <row r="39">
          <cell r="A39">
            <v>36</v>
          </cell>
          <cell r="B39" t="str">
            <v>Craig Losh</v>
          </cell>
          <cell r="C39">
            <v>2.9502314814814815E-2</v>
          </cell>
          <cell r="D39">
            <v>42.483333333333334</v>
          </cell>
          <cell r="E39">
            <v>1342.25</v>
          </cell>
        </row>
        <row r="40">
          <cell r="A40">
            <v>37</v>
          </cell>
          <cell r="B40" t="str">
            <v>Toby Waxman</v>
          </cell>
          <cell r="C40">
            <v>2.5277777777777777E-2</v>
          </cell>
          <cell r="D40">
            <v>36.4</v>
          </cell>
          <cell r="E40">
            <v>1378.65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E3AEF-C8A0-5242-8ECF-57F38D122FB8}" name="LapDetailGraphTable" displayName="LapDetailGraphTable" ref="A3:F40">
  <tableColumns count="6">
    <tableColumn id="1" xr3:uid="{1654056D-B6A1-9545-9D36-CAE54C04FC43}" name="Lap"/>
    <tableColumn id="2" xr3:uid="{A2DFF7D9-003E-4B4E-A68E-8D23C013F144}" name="Runner"/>
    <tableColumn id="3" xr3:uid="{F2A3F63C-6A35-BE43-8DC9-7687EA121DA7}" name="Lap Time"/>
    <tableColumn id="4" xr3:uid="{0B7C09EB-F3EF-0E4A-913E-9124FF29776A}" name="Lap Minutes"/>
    <tableColumn id="5" xr3:uid="{5AF5072B-38F3-6A4A-A02D-47E35C094985}" name="Cumulative Minutes"/>
    <tableColumn id="6" xr3:uid="{0A20DA00-83FC-344A-B2AB-FB193A1E4CE8}" name="% vs Overall Av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60B212-3EBB-E945-BB4D-8E0B084F6E9C}" name="RunnerSummaryGraphTable" displayName="RunnerSummaryGraphTable" ref="H3:N10">
  <tableColumns count="7">
    <tableColumn id="1" xr3:uid="{820813A4-2CED-914D-AF4D-9BA2E96771A3}" name="Runner"/>
    <tableColumn id="2" xr3:uid="{91B50493-9091-4C49-A888-B2F8C68EC7B2}" name="Laps"/>
    <tableColumn id="3" xr3:uid="{BF178248-D949-2140-A5FB-7A3C64D39E59}" name="Total Time"/>
    <tableColumn id="4" xr3:uid="{C9F7EE14-4A6B-A940-82F1-99989EAA38EC}" name="Avg Lap"/>
    <tableColumn id="5" xr3:uid="{C39F1EC6-7D56-9C49-A669-CB4EA7CE91FC}" name="Fastest Lap"/>
    <tableColumn id="6" xr3:uid="{4B831A83-EE30-B546-9818-FD9D2E037ACF}" name="Slowest Lap"/>
    <tableColumn id="7" xr3:uid="{CAF824D2-A816-504F-AD0E-AD509CCB6782}" name="Std De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94D7-2B4D-184E-A6F3-3B27F6A9987C}">
  <dimension ref="A1:Q120"/>
  <sheetViews>
    <sheetView tabSelected="1" zoomScale="91" workbookViewId="0">
      <selection activeCell="M13" sqref="M13"/>
    </sheetView>
  </sheetViews>
  <sheetFormatPr baseColWidth="10" defaultColWidth="8.83203125" defaultRowHeight="15" x14ac:dyDescent="0.2"/>
  <cols>
    <col min="1" max="6" width="16" customWidth="1"/>
    <col min="8" max="17" width="14" customWidth="1"/>
  </cols>
  <sheetData>
    <row r="1" spans="1:17" ht="37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</row>
    <row r="2" spans="1:17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30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/>
      <c r="H3" s="4" t="s">
        <v>2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</v>
      </c>
      <c r="O3" s="6" t="s">
        <v>2</v>
      </c>
      <c r="P3" s="6" t="s">
        <v>12</v>
      </c>
      <c r="Q3" s="6" t="s">
        <v>13</v>
      </c>
    </row>
    <row r="4" spans="1:17" x14ac:dyDescent="0.2">
      <c r="A4" s="5">
        <v>1</v>
      </c>
      <c r="B4" s="5" t="s">
        <v>14</v>
      </c>
      <c r="C4" s="7">
        <v>2.5671296296296296E-2</v>
      </c>
      <c r="D4" s="8">
        <v>36.966666666666661</v>
      </c>
      <c r="E4" s="8">
        <v>36.966666666666661</v>
      </c>
      <c r="F4" s="9">
        <v>-7.8941960130078925E-3</v>
      </c>
      <c r="G4" s="5"/>
      <c r="H4" s="5" t="s">
        <v>15</v>
      </c>
      <c r="I4" s="10">
        <v>7</v>
      </c>
      <c r="J4" s="7">
        <v>0.16487268518518519</v>
      </c>
      <c r="K4" s="7">
        <v>2.3553240740740743E-2</v>
      </c>
      <c r="L4" s="7">
        <v>2.2118055555555554E-2</v>
      </c>
      <c r="M4" s="7">
        <v>2.5277777777777777E-2</v>
      </c>
      <c r="N4" s="8">
        <v>17</v>
      </c>
      <c r="O4" s="8" t="s">
        <v>16</v>
      </c>
      <c r="P4" s="8">
        <v>30.833333333333336</v>
      </c>
      <c r="Q4" s="8">
        <v>97.02061636580143</v>
      </c>
    </row>
    <row r="5" spans="1:17" x14ac:dyDescent="0.2">
      <c r="A5" s="5">
        <v>2</v>
      </c>
      <c r="B5" s="5" t="s">
        <v>15</v>
      </c>
      <c r="C5" s="7">
        <v>2.2118055555555554E-2</v>
      </c>
      <c r="D5" s="8">
        <v>31.849999999999994</v>
      </c>
      <c r="E5" s="8">
        <v>68.816666666666663</v>
      </c>
      <c r="F5" s="9">
        <v>-0.14521452145214531</v>
      </c>
      <c r="G5" s="5"/>
      <c r="H5" s="5" t="s">
        <v>14</v>
      </c>
      <c r="I5" s="10">
        <v>7</v>
      </c>
      <c r="J5" s="7">
        <v>0.18896990740740741</v>
      </c>
      <c r="K5" s="7">
        <v>2.6995701058201059E-2</v>
      </c>
      <c r="L5" s="7">
        <v>2.5671296296296296E-2</v>
      </c>
      <c r="M5" s="7">
        <v>2.9502314814814815E-2</v>
      </c>
      <c r="N5" s="8">
        <v>2</v>
      </c>
      <c r="O5" s="8" t="s">
        <v>15</v>
      </c>
      <c r="P5" s="8">
        <v>31.849999999999994</v>
      </c>
      <c r="Q5" s="8">
        <v>121.21173917688719</v>
      </c>
    </row>
    <row r="6" spans="1:17" x14ac:dyDescent="0.2">
      <c r="A6" s="5">
        <v>3</v>
      </c>
      <c r="B6" s="5" t="s">
        <v>16</v>
      </c>
      <c r="C6" s="7">
        <v>2.2465277777777778E-2</v>
      </c>
      <c r="D6" s="8">
        <v>32.35</v>
      </c>
      <c r="E6" s="8">
        <v>101.16666666666666</v>
      </c>
      <c r="F6" s="9">
        <v>-0.13179559714213174</v>
      </c>
      <c r="G6" s="5"/>
      <c r="H6" s="5" t="s">
        <v>16</v>
      </c>
      <c r="I6" s="10">
        <v>6</v>
      </c>
      <c r="J6" s="7">
        <v>0.13858796296296297</v>
      </c>
      <c r="K6" s="7">
        <v>2.3097993827160494E-2</v>
      </c>
      <c r="L6" s="7">
        <v>2.1412037037037038E-2</v>
      </c>
      <c r="M6" s="7">
        <v>2.4826388888888887E-2</v>
      </c>
      <c r="N6" s="8">
        <v>10</v>
      </c>
      <c r="O6" s="8" t="s">
        <v>16</v>
      </c>
      <c r="P6" s="8">
        <v>32.083333333333336</v>
      </c>
      <c r="Q6" s="8">
        <v>108.98012051134218</v>
      </c>
    </row>
    <row r="7" spans="1:17" x14ac:dyDescent="0.2">
      <c r="A7" s="5">
        <v>4</v>
      </c>
      <c r="B7" s="5" t="s">
        <v>17</v>
      </c>
      <c r="C7" s="7">
        <v>2.7835648148148148E-2</v>
      </c>
      <c r="D7" s="8">
        <v>40.083333333333329</v>
      </c>
      <c r="E7" s="8">
        <v>141.25</v>
      </c>
      <c r="F7" s="9">
        <v>7.57504321860758E-2</v>
      </c>
      <c r="G7" s="5"/>
      <c r="H7" s="5" t="s">
        <v>18</v>
      </c>
      <c r="I7" s="10">
        <v>6</v>
      </c>
      <c r="J7" s="7">
        <v>0.14543981481481483</v>
      </c>
      <c r="K7" s="7">
        <v>2.423996913580247E-2</v>
      </c>
      <c r="L7" s="7">
        <v>2.326388888888889E-2</v>
      </c>
      <c r="M7" s="7">
        <v>2.5671296296296296E-2</v>
      </c>
      <c r="N7" s="8">
        <v>3</v>
      </c>
      <c r="O7" s="8" t="s">
        <v>16</v>
      </c>
      <c r="P7" s="8">
        <v>32.35</v>
      </c>
      <c r="Q7" s="8">
        <v>71.957394801831484</v>
      </c>
    </row>
    <row r="8" spans="1:17" x14ac:dyDescent="0.2">
      <c r="A8" s="5">
        <v>5</v>
      </c>
      <c r="B8" s="5" t="s">
        <v>18</v>
      </c>
      <c r="C8" s="7">
        <v>2.3738425925925927E-2</v>
      </c>
      <c r="D8" s="8">
        <v>34.183333333333337</v>
      </c>
      <c r="E8" s="8">
        <v>175.43333333333334</v>
      </c>
      <c r="F8" s="9">
        <v>-8.2592874672082539E-2</v>
      </c>
      <c r="G8" s="5"/>
      <c r="H8" s="5" t="s">
        <v>19</v>
      </c>
      <c r="I8" s="10">
        <v>4</v>
      </c>
      <c r="J8" s="7">
        <v>0.10814814814814816</v>
      </c>
      <c r="K8" s="7">
        <v>2.703703703703704E-2</v>
      </c>
      <c r="L8" s="7">
        <v>2.6666666666666668E-2</v>
      </c>
      <c r="M8" s="7">
        <v>2.7395833333333335E-2</v>
      </c>
      <c r="N8" s="8">
        <v>27</v>
      </c>
      <c r="O8" s="8" t="s">
        <v>15</v>
      </c>
      <c r="P8" s="8">
        <v>32.983333333333334</v>
      </c>
      <c r="Q8" s="8">
        <v>26.870057685088767</v>
      </c>
    </row>
    <row r="9" spans="1:17" x14ac:dyDescent="0.2">
      <c r="A9" s="5">
        <v>6</v>
      </c>
      <c r="B9" s="5" t="s">
        <v>20</v>
      </c>
      <c r="C9" s="7">
        <v>3.0891203703703702E-2</v>
      </c>
      <c r="D9" s="8">
        <v>44.483333333333334</v>
      </c>
      <c r="E9" s="8">
        <v>219.91666666666669</v>
      </c>
      <c r="F9" s="9">
        <v>0.19383696611419388</v>
      </c>
      <c r="G9" s="5"/>
      <c r="H9" s="5" t="s">
        <v>20</v>
      </c>
      <c r="I9" s="10">
        <v>4</v>
      </c>
      <c r="J9" s="7">
        <v>0.12633101851851852</v>
      </c>
      <c r="K9" s="7">
        <v>3.1582754629629631E-2</v>
      </c>
      <c r="L9" s="7">
        <v>3.0428240740740742E-2</v>
      </c>
      <c r="M9" s="7">
        <v>3.2638888888888891E-2</v>
      </c>
      <c r="N9" s="8">
        <v>16</v>
      </c>
      <c r="O9" s="8" t="s">
        <v>15</v>
      </c>
      <c r="P9" s="8">
        <v>33.283333333333331</v>
      </c>
      <c r="Q9" s="8">
        <v>93.994237412017327</v>
      </c>
    </row>
    <row r="10" spans="1:17" x14ac:dyDescent="0.2">
      <c r="A10" s="5">
        <v>7</v>
      </c>
      <c r="B10" s="5" t="s">
        <v>19</v>
      </c>
      <c r="C10" s="7">
        <v>2.6932870370370371E-2</v>
      </c>
      <c r="D10" s="8">
        <v>38.783333333333331</v>
      </c>
      <c r="E10" s="8">
        <v>258.70000000000005</v>
      </c>
      <c r="F10" s="9">
        <v>4.0861228980040964E-2</v>
      </c>
      <c r="G10" s="5"/>
      <c r="H10" s="5" t="s">
        <v>17</v>
      </c>
      <c r="I10" s="10">
        <v>3</v>
      </c>
      <c r="J10" s="7">
        <v>8.50462962962963E-2</v>
      </c>
      <c r="K10" s="7">
        <v>2.8348765432098768E-2</v>
      </c>
      <c r="L10" s="7">
        <v>2.7835648148148148E-2</v>
      </c>
      <c r="M10" s="7">
        <v>2.8703703703703703E-2</v>
      </c>
      <c r="N10" s="8">
        <v>32</v>
      </c>
      <c r="O10" s="8" t="s">
        <v>15</v>
      </c>
      <c r="P10" s="8">
        <v>33.333333333333336</v>
      </c>
      <c r="Q10" s="8">
        <v>39.323445084750063</v>
      </c>
    </row>
    <row r="11" spans="1:17" x14ac:dyDescent="0.2">
      <c r="A11" s="5">
        <v>8</v>
      </c>
      <c r="B11" s="5" t="s">
        <v>14</v>
      </c>
      <c r="C11" s="7">
        <v>2.6319444444444444E-2</v>
      </c>
      <c r="D11" s="8">
        <v>37.9</v>
      </c>
      <c r="E11" s="8">
        <v>296.60000000000002</v>
      </c>
      <c r="F11" s="9">
        <v>1.7154462699017214E-2</v>
      </c>
      <c r="G11" s="5"/>
      <c r="H11" s="5"/>
      <c r="I11" s="5"/>
      <c r="J11" s="5"/>
      <c r="K11" s="5"/>
      <c r="L11" s="5"/>
      <c r="M11" s="5"/>
      <c r="N11" s="5">
        <v>12</v>
      </c>
      <c r="O11" s="5" t="s">
        <v>18</v>
      </c>
      <c r="P11" s="8">
        <v>33.5</v>
      </c>
      <c r="Q11" s="5"/>
    </row>
    <row r="12" spans="1:17" x14ac:dyDescent="0.2">
      <c r="A12" s="5">
        <v>9</v>
      </c>
      <c r="B12" s="5" t="s">
        <v>15</v>
      </c>
      <c r="C12" s="7">
        <v>2.34375E-2</v>
      </c>
      <c r="D12" s="8">
        <v>33.75</v>
      </c>
      <c r="E12" s="8">
        <v>330.35</v>
      </c>
      <c r="F12" s="9">
        <v>-9.4222609074094188E-2</v>
      </c>
      <c r="G12" s="5"/>
      <c r="H12" s="5"/>
      <c r="I12" s="5"/>
      <c r="J12" s="5"/>
      <c r="K12" s="5"/>
      <c r="L12" s="5"/>
      <c r="M12" s="5"/>
      <c r="N12" s="5">
        <v>9</v>
      </c>
      <c r="O12" s="5" t="s">
        <v>15</v>
      </c>
      <c r="P12" s="8">
        <v>33.75</v>
      </c>
      <c r="Q12" s="5"/>
    </row>
    <row r="13" spans="1:17" x14ac:dyDescent="0.2">
      <c r="A13" s="5">
        <v>10</v>
      </c>
      <c r="B13" s="5" t="s">
        <v>16</v>
      </c>
      <c r="C13" s="7">
        <v>2.2280092592592591E-2</v>
      </c>
      <c r="D13" s="8">
        <v>32.083333333333336</v>
      </c>
      <c r="E13" s="8">
        <v>362.43333333333334</v>
      </c>
      <c r="F13" s="9">
        <v>-0.13895235677413897</v>
      </c>
      <c r="G13" s="5"/>
      <c r="H13" s="11"/>
      <c r="I13" s="11"/>
      <c r="J13" s="11"/>
      <c r="K13" s="11"/>
      <c r="L13" s="5"/>
      <c r="M13" s="5"/>
      <c r="N13" s="5">
        <v>28</v>
      </c>
      <c r="O13" s="5" t="s">
        <v>16</v>
      </c>
      <c r="P13" s="8">
        <v>34.016666666666666</v>
      </c>
      <c r="Q13" s="5"/>
    </row>
    <row r="14" spans="1:17" x14ac:dyDescent="0.2">
      <c r="A14" s="5">
        <v>11</v>
      </c>
      <c r="B14" s="5" t="s">
        <v>17</v>
      </c>
      <c r="C14" s="7">
        <v>2.8703703703703703E-2</v>
      </c>
      <c r="D14" s="8">
        <v>41.333333333333336</v>
      </c>
      <c r="E14" s="8">
        <v>403.76666666666665</v>
      </c>
      <c r="F14" s="9">
        <v>0.10929774296110928</v>
      </c>
      <c r="G14" s="5"/>
      <c r="H14" s="6" t="s">
        <v>2</v>
      </c>
      <c r="I14" s="12" t="s">
        <v>21</v>
      </c>
      <c r="J14" s="12" t="s">
        <v>22</v>
      </c>
      <c r="K14" s="12" t="s">
        <v>23</v>
      </c>
      <c r="L14" s="6" t="s">
        <v>13</v>
      </c>
      <c r="M14" s="5"/>
      <c r="N14" s="5"/>
      <c r="O14" s="5"/>
      <c r="P14" s="5"/>
      <c r="Q14" s="5"/>
    </row>
    <row r="15" spans="1:17" x14ac:dyDescent="0.2">
      <c r="A15" s="5">
        <v>12</v>
      </c>
      <c r="B15" s="5" t="s">
        <v>18</v>
      </c>
      <c r="C15" s="7">
        <v>2.326388888888889E-2</v>
      </c>
      <c r="D15" s="8">
        <v>33.5</v>
      </c>
      <c r="E15" s="8">
        <v>437.26666666666665</v>
      </c>
      <c r="F15" s="9">
        <v>-0.10093207122910086</v>
      </c>
      <c r="G15" s="5"/>
      <c r="H15" s="5" t="s">
        <v>16</v>
      </c>
      <c r="I15" s="8">
        <v>33.261111111111113</v>
      </c>
      <c r="J15" s="8">
        <v>30.833333333333336</v>
      </c>
      <c r="K15" s="8">
        <v>35.75</v>
      </c>
      <c r="L15" s="8">
        <v>108.98012051134218</v>
      </c>
      <c r="M15" s="5"/>
      <c r="N15" s="5"/>
      <c r="O15" s="5"/>
      <c r="P15" s="5"/>
      <c r="Q15" s="5"/>
    </row>
    <row r="16" spans="1:17" x14ac:dyDescent="0.2">
      <c r="A16" s="5">
        <v>13</v>
      </c>
      <c r="B16" s="5" t="s">
        <v>20</v>
      </c>
      <c r="C16" s="7">
        <v>3.0428240740740742E-2</v>
      </c>
      <c r="D16" s="8">
        <v>43.81666666666667</v>
      </c>
      <c r="E16" s="8">
        <v>481.08333333333331</v>
      </c>
      <c r="F16" s="9">
        <v>0.17594506703417601</v>
      </c>
      <c r="G16" s="5"/>
      <c r="H16" s="5" t="s">
        <v>15</v>
      </c>
      <c r="I16" s="8">
        <v>33.916666666666664</v>
      </c>
      <c r="J16" s="8">
        <v>31.849999999999994</v>
      </c>
      <c r="K16" s="8">
        <v>36.4</v>
      </c>
      <c r="L16" s="8">
        <v>97.02061636580143</v>
      </c>
      <c r="M16" s="5"/>
      <c r="N16" s="6" t="s">
        <v>2</v>
      </c>
      <c r="O16" s="6" t="s">
        <v>13</v>
      </c>
      <c r="P16" s="6" t="s">
        <v>24</v>
      </c>
      <c r="Q16" s="5"/>
    </row>
    <row r="17" spans="1:17" x14ac:dyDescent="0.2">
      <c r="A17" s="5">
        <v>14</v>
      </c>
      <c r="B17" s="5" t="s">
        <v>19</v>
      </c>
      <c r="C17" s="7">
        <v>2.6666666666666668E-2</v>
      </c>
      <c r="D17" s="8">
        <v>38.4</v>
      </c>
      <c r="E17" s="8">
        <v>519.48333333333335</v>
      </c>
      <c r="F17" s="9">
        <v>3.0573387009030562E-2</v>
      </c>
      <c r="G17" s="5"/>
      <c r="H17" s="5" t="s">
        <v>18</v>
      </c>
      <c r="I17" s="8">
        <v>34.905555555555559</v>
      </c>
      <c r="J17" s="8">
        <v>33.5</v>
      </c>
      <c r="K17" s="8">
        <v>36.966666666666661</v>
      </c>
      <c r="L17" s="8">
        <v>71.957394801831484</v>
      </c>
      <c r="M17" s="5"/>
      <c r="N17" s="5" t="s">
        <v>19</v>
      </c>
      <c r="O17" s="8">
        <v>26.870057685088767</v>
      </c>
      <c r="P17" s="8">
        <v>38.933333333333337</v>
      </c>
      <c r="Q17" s="5"/>
    </row>
    <row r="18" spans="1:17" x14ac:dyDescent="0.2">
      <c r="A18" s="5">
        <v>15</v>
      </c>
      <c r="B18" s="5" t="s">
        <v>14</v>
      </c>
      <c r="C18" s="7">
        <v>2.582175925925926E-2</v>
      </c>
      <c r="D18" s="8">
        <v>37.183333333333337</v>
      </c>
      <c r="E18" s="8">
        <v>556.66666666666674</v>
      </c>
      <c r="F18" s="9">
        <v>-2.0793288120020126E-3</v>
      </c>
      <c r="G18" s="5"/>
      <c r="H18" s="5" t="s">
        <v>14</v>
      </c>
      <c r="I18" s="8">
        <v>38.87380952380952</v>
      </c>
      <c r="J18" s="8">
        <v>36.966666666666661</v>
      </c>
      <c r="K18" s="8">
        <v>42.483333333333334</v>
      </c>
      <c r="L18" s="8">
        <v>121.21173917688719</v>
      </c>
      <c r="M18" s="5"/>
      <c r="N18" s="5" t="s">
        <v>17</v>
      </c>
      <c r="O18" s="8">
        <v>39.323445084750063</v>
      </c>
      <c r="P18" s="8">
        <v>40.822222222222223</v>
      </c>
      <c r="Q18" s="5"/>
    </row>
    <row r="19" spans="1:17" x14ac:dyDescent="0.2">
      <c r="A19" s="5">
        <v>16</v>
      </c>
      <c r="B19" s="5" t="s">
        <v>15</v>
      </c>
      <c r="C19" s="7">
        <v>2.3113425925925926E-2</v>
      </c>
      <c r="D19" s="8">
        <v>33.283333333333331</v>
      </c>
      <c r="E19" s="8">
        <v>589.95000000000005</v>
      </c>
      <c r="F19" s="9">
        <v>-0.10674693843010674</v>
      </c>
      <c r="G19" s="5"/>
      <c r="H19" s="5" t="s">
        <v>19</v>
      </c>
      <c r="I19" s="8">
        <v>38.933333333333337</v>
      </c>
      <c r="J19" s="8">
        <v>38.4</v>
      </c>
      <c r="K19" s="8">
        <v>39.449999999999996</v>
      </c>
      <c r="L19" s="8">
        <v>26.870057685088767</v>
      </c>
      <c r="M19" s="5"/>
      <c r="N19" s="5" t="s">
        <v>18</v>
      </c>
      <c r="O19" s="8">
        <v>71.957394801831484</v>
      </c>
      <c r="P19" s="8">
        <v>34.905555555555559</v>
      </c>
      <c r="Q19" s="5"/>
    </row>
    <row r="20" spans="1:17" x14ac:dyDescent="0.2">
      <c r="A20" s="5">
        <v>17</v>
      </c>
      <c r="B20" s="5" t="s">
        <v>16</v>
      </c>
      <c r="C20" s="7">
        <v>2.1412037037037038E-2</v>
      </c>
      <c r="D20" s="8">
        <v>30.833333333333336</v>
      </c>
      <c r="E20" s="8">
        <v>620.78333333333342</v>
      </c>
      <c r="F20" s="9">
        <v>-0.17249966754917245</v>
      </c>
      <c r="G20" s="5"/>
      <c r="H20" s="5" t="s">
        <v>17</v>
      </c>
      <c r="I20" s="8">
        <v>40.822222222222223</v>
      </c>
      <c r="J20" s="8">
        <v>40.083333333333329</v>
      </c>
      <c r="K20" s="8">
        <v>41.333333333333336</v>
      </c>
      <c r="L20" s="8">
        <v>39.323445084750063</v>
      </c>
      <c r="M20" s="5"/>
      <c r="N20" s="5" t="s">
        <v>20</v>
      </c>
      <c r="O20" s="8">
        <v>93.994237412017327</v>
      </c>
      <c r="P20" s="8">
        <v>45.479166666666671</v>
      </c>
      <c r="Q20" s="5"/>
    </row>
    <row r="21" spans="1:17" x14ac:dyDescent="0.2">
      <c r="A21" s="5">
        <v>18</v>
      </c>
      <c r="B21" s="5" t="s">
        <v>17</v>
      </c>
      <c r="C21" s="7">
        <v>2.8506944444444446E-2</v>
      </c>
      <c r="D21" s="8">
        <v>41.050000000000004</v>
      </c>
      <c r="E21" s="8">
        <v>661.83333333333337</v>
      </c>
      <c r="F21" s="9">
        <v>0.10169368585210181</v>
      </c>
      <c r="G21" s="5"/>
      <c r="H21" s="5" t="s">
        <v>20</v>
      </c>
      <c r="I21" s="8">
        <v>45.479166666666671</v>
      </c>
      <c r="J21" s="8">
        <v>43.81666666666667</v>
      </c>
      <c r="K21" s="8">
        <v>47.000000000000007</v>
      </c>
      <c r="L21" s="8">
        <v>93.994237412017327</v>
      </c>
      <c r="M21" s="5"/>
      <c r="N21" s="5" t="s">
        <v>15</v>
      </c>
      <c r="O21" s="8">
        <v>97.02061636580143</v>
      </c>
      <c r="P21" s="8">
        <v>33.916666666666664</v>
      </c>
      <c r="Q21" s="5"/>
    </row>
    <row r="22" spans="1:17" x14ac:dyDescent="0.2">
      <c r="A22" s="5">
        <v>19</v>
      </c>
      <c r="B22" s="5" t="s">
        <v>18</v>
      </c>
      <c r="C22" s="7">
        <v>2.3877314814814816E-2</v>
      </c>
      <c r="D22" s="8">
        <v>34.38333333333334</v>
      </c>
      <c r="E22" s="8">
        <v>696.2166666666667</v>
      </c>
      <c r="F22" s="9">
        <v>-7.7225304948077111E-2</v>
      </c>
      <c r="G22" s="5"/>
      <c r="H22" s="5"/>
      <c r="I22" s="5"/>
      <c r="J22" s="5"/>
      <c r="K22" s="5"/>
      <c r="L22" s="5"/>
      <c r="M22" s="5"/>
      <c r="N22" s="5" t="s">
        <v>16</v>
      </c>
      <c r="O22" s="8">
        <v>108.98012051134218</v>
      </c>
      <c r="P22" s="8">
        <v>33.261111111111113</v>
      </c>
      <c r="Q22" s="5"/>
    </row>
    <row r="23" spans="1:17" x14ac:dyDescent="0.2">
      <c r="A23" s="5">
        <v>20</v>
      </c>
      <c r="B23" s="5" t="s">
        <v>20</v>
      </c>
      <c r="C23" s="7">
        <v>3.2638888888888891E-2</v>
      </c>
      <c r="D23" s="8">
        <v>47.000000000000007</v>
      </c>
      <c r="E23" s="8">
        <v>743.2166666666667</v>
      </c>
      <c r="F23" s="9">
        <v>0.26137888514126151</v>
      </c>
      <c r="G23" s="5"/>
      <c r="H23" s="5"/>
      <c r="I23" s="5"/>
      <c r="J23" s="5"/>
      <c r="K23" s="5"/>
      <c r="L23" s="5"/>
      <c r="M23" s="5"/>
      <c r="N23" s="5" t="s">
        <v>14</v>
      </c>
      <c r="O23" s="8">
        <v>121.21173917688719</v>
      </c>
      <c r="P23" s="8">
        <v>38.87380952380952</v>
      </c>
      <c r="Q23" s="5"/>
    </row>
    <row r="24" spans="1:17" x14ac:dyDescent="0.2">
      <c r="A24" s="5">
        <v>21</v>
      </c>
      <c r="B24" s="5" t="s">
        <v>19</v>
      </c>
      <c r="C24" s="7">
        <v>2.7152777777777779E-2</v>
      </c>
      <c r="D24" s="8">
        <v>39.1</v>
      </c>
      <c r="E24" s="8">
        <v>782.31666666666672</v>
      </c>
      <c r="F24" s="9">
        <v>4.9359881043049336E-2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">
      <c r="A25" s="5">
        <v>22</v>
      </c>
      <c r="B25" s="5" t="s">
        <v>14</v>
      </c>
      <c r="C25" s="7">
        <v>2.6238425925925925E-2</v>
      </c>
      <c r="D25" s="8">
        <v>37.783333333333331</v>
      </c>
      <c r="E25" s="8">
        <v>820.1</v>
      </c>
      <c r="F25" s="9">
        <v>1.4023380360014048E-2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">
      <c r="A26" s="5">
        <v>23</v>
      </c>
      <c r="B26" s="5" t="s">
        <v>15</v>
      </c>
      <c r="C26" s="7">
        <v>2.4872685185185185E-2</v>
      </c>
      <c r="D26" s="8">
        <v>35.81666666666667</v>
      </c>
      <c r="E26" s="8">
        <v>855.91666666666674</v>
      </c>
      <c r="F26" s="9">
        <v>-3.8757721926038768E-2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2">
      <c r="A27" s="5">
        <v>24</v>
      </c>
      <c r="B27" s="5" t="s">
        <v>16</v>
      </c>
      <c r="C27" s="7">
        <v>2.3981481481481482E-2</v>
      </c>
      <c r="D27" s="8">
        <v>34.533333333333339</v>
      </c>
      <c r="E27" s="8">
        <v>890.45</v>
      </c>
      <c r="F27" s="9">
        <v>-7.3199627655073152E-2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">
      <c r="A28" s="5">
        <v>25</v>
      </c>
      <c r="B28" s="5" t="s">
        <v>18</v>
      </c>
      <c r="C28" s="7">
        <v>2.4444444444444446E-2</v>
      </c>
      <c r="D28" s="8">
        <v>35.200000000000003</v>
      </c>
      <c r="E28" s="8">
        <v>925.65000000000009</v>
      </c>
      <c r="F28" s="9">
        <v>-5.5307728575055282E-2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">
      <c r="A29" s="5">
        <v>26</v>
      </c>
      <c r="B29" s="5" t="s">
        <v>14</v>
      </c>
      <c r="C29" s="7">
        <v>2.7291666666666665E-2</v>
      </c>
      <c r="D29" s="8">
        <v>39.300000000000004</v>
      </c>
      <c r="E29" s="8">
        <v>964.95</v>
      </c>
      <c r="F29" s="9">
        <v>5.4727450767054764E-2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">
      <c r="A30" s="5">
        <v>27</v>
      </c>
      <c r="B30" s="5" t="s">
        <v>15</v>
      </c>
      <c r="C30" s="7">
        <v>2.2905092592592591E-2</v>
      </c>
      <c r="D30" s="8">
        <v>32.983333333333334</v>
      </c>
      <c r="E30" s="8">
        <v>997.93333333333339</v>
      </c>
      <c r="F30" s="9">
        <v>-0.11479829301611477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">
      <c r="A31" s="5">
        <v>28</v>
      </c>
      <c r="B31" s="5" t="s">
        <v>16</v>
      </c>
      <c r="C31" s="7">
        <v>2.3622685185185184E-2</v>
      </c>
      <c r="D31" s="8">
        <v>34.016666666666666</v>
      </c>
      <c r="E31" s="8">
        <v>1031.95</v>
      </c>
      <c r="F31" s="9">
        <v>-8.7065849442087062E-2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2">
      <c r="A32" s="5">
        <v>29</v>
      </c>
      <c r="B32" s="5" t="s">
        <v>19</v>
      </c>
      <c r="C32" s="7">
        <v>2.7395833333333335E-2</v>
      </c>
      <c r="D32" s="8">
        <v>39.449999999999996</v>
      </c>
      <c r="E32" s="8">
        <v>1071.4000000000001</v>
      </c>
      <c r="F32" s="9">
        <v>5.8753128060058835E-2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">
      <c r="A33" s="5">
        <v>30</v>
      </c>
      <c r="B33" s="5" t="s">
        <v>18</v>
      </c>
      <c r="C33" s="7">
        <v>2.4444444444444446E-2</v>
      </c>
      <c r="D33" s="8">
        <v>35.200000000000003</v>
      </c>
      <c r="E33" s="8">
        <v>1106.6000000000001</v>
      </c>
      <c r="F33" s="9">
        <v>-5.5307728575055282E-2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">
      <c r="A34" s="5">
        <v>31</v>
      </c>
      <c r="B34" s="5" t="s">
        <v>14</v>
      </c>
      <c r="C34" s="7">
        <v>2.8125000000000001E-2</v>
      </c>
      <c r="D34" s="8">
        <v>40.5</v>
      </c>
      <c r="E34" s="8">
        <v>1147.1000000000001</v>
      </c>
      <c r="F34" s="9">
        <v>8.6932869111086886E-2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">
      <c r="A35" s="5">
        <v>32</v>
      </c>
      <c r="B35" s="5" t="s">
        <v>15</v>
      </c>
      <c r="C35" s="7">
        <v>2.3148148148148147E-2</v>
      </c>
      <c r="D35" s="8">
        <v>33.333333333333336</v>
      </c>
      <c r="E35" s="8">
        <v>1180.4333333333334</v>
      </c>
      <c r="F35" s="9">
        <v>-0.10540504599910538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">
      <c r="A36" s="5">
        <v>33</v>
      </c>
      <c r="B36" s="5" t="s">
        <v>16</v>
      </c>
      <c r="C36" s="7">
        <v>2.4826388888888887E-2</v>
      </c>
      <c r="D36" s="8">
        <v>35.75</v>
      </c>
      <c r="E36" s="8">
        <v>1216.1833333333334</v>
      </c>
      <c r="F36" s="9">
        <v>-4.0546911834040578E-2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">
      <c r="A37" s="5">
        <v>34</v>
      </c>
      <c r="B37" s="5" t="s">
        <v>20</v>
      </c>
      <c r="C37" s="7">
        <v>3.2372685185185185E-2</v>
      </c>
      <c r="D37" s="8">
        <v>46.616666666666667</v>
      </c>
      <c r="E37" s="8">
        <v>1262.8</v>
      </c>
      <c r="F37" s="9">
        <v>0.2510910431702511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">
      <c r="A38" s="5">
        <v>35</v>
      </c>
      <c r="B38" s="5" t="s">
        <v>18</v>
      </c>
      <c r="C38" s="7">
        <v>2.5671296296296296E-2</v>
      </c>
      <c r="D38" s="8">
        <v>36.966666666666661</v>
      </c>
      <c r="E38" s="8">
        <v>1299.7666666666667</v>
      </c>
      <c r="F38" s="9">
        <v>-7.8941960130078925E-3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">
      <c r="A39" s="5">
        <v>36</v>
      </c>
      <c r="B39" s="5" t="s">
        <v>14</v>
      </c>
      <c r="C39" s="7">
        <v>2.9502314814814815E-2</v>
      </c>
      <c r="D39" s="8">
        <v>42.483333333333334</v>
      </c>
      <c r="E39" s="8">
        <v>1342.25</v>
      </c>
      <c r="F39" s="9">
        <v>0.14016126887414027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">
      <c r="A40" s="5">
        <v>37</v>
      </c>
      <c r="B40" s="5" t="s">
        <v>15</v>
      </c>
      <c r="C40" s="7">
        <v>2.5277777777777777E-2</v>
      </c>
      <c r="D40" s="8">
        <v>36.4</v>
      </c>
      <c r="E40" s="8">
        <v>1378.65</v>
      </c>
      <c r="F40" s="9">
        <v>-2.3102310231023049E-2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">
      <c r="A42" s="13"/>
      <c r="B42" s="14"/>
      <c r="C42" s="14"/>
      <c r="D42" s="14"/>
      <c r="E42" s="14"/>
      <c r="F42" s="1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">
      <c r="A43" s="4" t="s">
        <v>25</v>
      </c>
      <c r="B43" s="15"/>
      <c r="C43" s="15"/>
      <c r="D43" s="15"/>
      <c r="E43" s="4"/>
      <c r="F43" s="1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30" x14ac:dyDescent="0.2">
      <c r="A44" s="16" t="s">
        <v>26</v>
      </c>
      <c r="B44" s="17">
        <v>37</v>
      </c>
      <c r="C44" s="18" t="s">
        <v>27</v>
      </c>
      <c r="D44" s="19">
        <v>0.95739583333333333</v>
      </c>
      <c r="E44" s="16" t="s">
        <v>28</v>
      </c>
      <c r="F44" s="19">
        <v>2.1412037037037038E-2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">
      <c r="A45" s="16" t="s">
        <v>29</v>
      </c>
      <c r="B45" s="20">
        <v>2.5875563063063062E-2</v>
      </c>
      <c r="C45" s="16" t="s">
        <v>30</v>
      </c>
      <c r="D45" s="19">
        <v>3.2638888888888891E-2</v>
      </c>
      <c r="E45" s="16" t="s">
        <v>31</v>
      </c>
      <c r="F45" s="19" t="s">
        <v>16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ht="30" x14ac:dyDescent="0.2">
      <c r="A46" s="5" t="s">
        <v>32</v>
      </c>
      <c r="B46" s="5" t="s">
        <v>15</v>
      </c>
      <c r="C46" s="5" t="s">
        <v>33</v>
      </c>
      <c r="D46" s="7" t="s">
        <v>19</v>
      </c>
      <c r="E46" s="5" t="s">
        <v>34</v>
      </c>
      <c r="F46" s="7">
        <v>2.4444444444444446E-2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ht="90" x14ac:dyDescent="0.2">
      <c r="A47" s="5" t="s">
        <v>35</v>
      </c>
      <c r="B47" s="5" t="s">
        <v>36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</sheetData>
  <mergeCells count="2">
    <mergeCell ref="A1:L1"/>
    <mergeCell ref="A42:F42"/>
  </mergeCells>
  <conditionalFormatting sqref="D4:D40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  <cfRule type="colorScale" priority="5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I4:I10">
    <cfRule type="dataBar" priority="2">
      <dataBar>
        <cfvo type="min"/>
        <cfvo type="max"/>
        <color rgb="FF12355B"/>
      </dataBar>
    </cfRule>
    <cfRule type="dataBar" priority="7">
      <dataBar>
        <cfvo type="min"/>
        <cfvo type="max"/>
        <color rgb="FF12355B"/>
      </dataBar>
      <extLst>
        <ext xmlns:x14="http://schemas.microsoft.com/office/spreadsheetml/2009/9/main" uri="{B025F937-C7B1-47D3-B67F-A62EFF666E3E}">
          <x14:id>{F32AFDF7-B98E-D64D-9CE1-CE023333E6E5}</x14:id>
        </ext>
      </extLst>
    </cfRule>
  </conditionalFormatting>
  <conditionalFormatting sqref="K4:K10"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N4:N10">
    <cfRule type="colorScale" priority="4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Q4:Q10">
    <cfRule type="dataBar" priority="6">
      <dataBar>
        <cfvo type="min"/>
        <cfvo type="max"/>
        <color rgb="FF60A5FA"/>
      </dataBar>
    </cfRule>
    <cfRule type="dataBar" priority="8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{9E128B3C-83A9-AB46-8353-D310311649F8}</x14:id>
        </ext>
      </extLst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2AFDF7-B98E-D64D-9CE1-CE023333E6E5}">
            <x14:dataBar>
              <x14:cfvo type="min"/>
              <x14:cfvo type="max"/>
              <x14:negativeFillColor auto="1"/>
              <x14:axisColor auto="1"/>
            </x14:dataBar>
          </x14:cfRule>
          <xm:sqref>I4:I10</xm:sqref>
        </x14:conditionalFormatting>
        <x14:conditionalFormatting xmlns:xm="http://schemas.microsoft.com/office/excel/2006/main">
          <x14:cfRule type="dataBar" id="{9E128B3C-83A9-AB46-8353-D310311649F8}">
            <x14:dataBar>
              <x14:cfvo type="min"/>
              <x14:cfvo type="max"/>
              <x14:negativeFillColor auto="1"/>
              <x14:axisColor auto="1"/>
            </x14:dataBar>
          </x14:cfRule>
          <xm:sqref>Q4:Q10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Interesting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waxman</dc:creator>
  <cp:lastModifiedBy>toby waxman</cp:lastModifiedBy>
  <dcterms:created xsi:type="dcterms:W3CDTF">2026-05-16T21:11:27Z</dcterms:created>
  <dcterms:modified xsi:type="dcterms:W3CDTF">2026-05-26T13:48:29Z</dcterms:modified>
</cp:coreProperties>
</file>